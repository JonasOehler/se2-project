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" sheetId="1" r:id="rId4"/>
    <sheet state="visible" name="Klausur" sheetId="2" r:id="rId5"/>
    <sheet state="visible" name="Gesamtnote" sheetId="3" r:id="rId6"/>
    <sheet state="visible" name="Notenspiegel" sheetId="4" r:id="rId7"/>
  </sheets>
  <definedNames/>
  <calcPr/>
  <extLst>
    <ext uri="GoogleSheetsCustomDataVersion1">
      <go:sheetsCustomData xmlns:go="http://customooxmlschemas.google.com/" r:id="rId8" roundtripDataSignature="AMtx7mgYwf6FBeb4uaVR5bY/raXXu7Tdk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1">
      <text>
        <t xml:space="preserve">======
ID#AAAAjoBIU4c
kriha    (2022-11-09 13:56:27)
0 - keine Dokumentation (pdf) vorhanden
1 - Lückenhafte Dokumentation
2 - 
3 - Vollständige Dokumentation (gem. Doku-Anforderungen)</t>
      </text>
    </comment>
    <comment authorId="0" ref="M1">
      <text>
        <t xml:space="preserve">======
ID#AAAAjoBIU4Y
jordine    (2022-11-09 13:56:27)
0 - kein UML vorhanden oder generiertes Klassendiagramm
2 - Eigenes Klassendiagram mit Fehlern
3 - Übersichtliches und korrektes Klassendiagramm mit erklärender Wirkung und Use Case Diagramm mit Kernfällen</t>
      </text>
    </comment>
    <comment authorId="0" ref="L1">
      <text>
        <t xml:space="preserve">======
ID#AAAAjoBIU4U
jordine    (2022-11-09 13:56:27)
0 - kein Logging vorhanden
1 -  Logging mit Logging-Framework in den meisten Klassen
2 - Sinnvolle Anwendung der Log-Stufen, 
3- Logging von Exceptions und Threads</t>
      </text>
    </comment>
    <comment authorId="0" ref="O1">
      <text>
        <t xml:space="preserve">======
ID#AAAAjoBIU4Q
jordine    (2022-11-09 13:56:27)
0 - keine Lambdas
1 - Lambdas vorhanden (z.B. Event-Handling)
2 - Verwendung von Streams (z.B. Durchsuchen/Sortieren einer Collection)
3 - Streams parallel verarbeiten ohne Race Conditions</t>
      </text>
    </comment>
    <comment authorId="0" ref="K1">
      <text>
        <t xml:space="preserve">======
ID#AAAAjoBIU4M
jordine    (2022-11-09 13:56:27)
0 - keine GUI
1 - Einfache GUI vorhanden
2 - Event-Handling vorhanden
3 - Komplexere GUI vorhanden (z.B. verschachteltes Layout, mehrere Screens, Menü etc)</t>
      </text>
    </comment>
    <comment authorId="0" ref="N1">
      <text>
        <t xml:space="preserve">======
ID#AAAAjoBIU4I
     (2022-11-09 13:56:27)
kriha:solange Online Vorlesung: einfacher Thread genügt, richtig synchronisierter Zugriff auf gemeinsame Daten gibt extra-Punkte 
0 - keine Threads vorhanden
1 - Thread.start() kreiert
2 - (leer)
3 - Richtig synchronisierter Zugriff auf gemeinsame, schreibbare Daten</t>
      </text>
    </comment>
    <comment authorId="0" ref="H1">
      <text>
        <t xml:space="preserve">======
ID#AAAAjoBIU4E
jordine    (2022-11-09 13:56:27)
0 – no encapsulation of members (public members)
1 - few  static methods used
2 – no getters return writeable references to members
3 – loose coupling (interfaces on left side of =)</t>
      </text>
    </comment>
    <comment authorId="0" ref="J1">
      <text>
        <t xml:space="preserve">======
ID#AAAAjoBIU4A
jordine    (2022-11-09 13:56:27)
0 - keine Tests vorhanden
1 – einfache wenige Tests vorhanden
2 – mehrere Klassen mit unit tests
3 – mehrere Klassen inklusive Negativtests bei unit tests</t>
      </text>
    </comment>
    <comment authorId="0" ref="P1">
      <text>
        <t xml:space="preserve">======
ID#AAAAjoBIU38
kriha    (2022-11-09 13:56:27)
Solange online Vorlesung:  Kein profiling
Sondern alle Nachdenkzettel gemeinsam ausgefüllt im Repo.</t>
      </text>
    </comment>
    <comment authorId="0" ref="G1">
      <text>
        <t xml:space="preserve">======
ID#AAAAjoBIU34
kriha    (2022-11-09 13:56:27)
0 - keine Interfaces/Vererbung/Packages vorhanden
1 - Interfaces aus Java-API verwendet oder von Java-Klassen geerbt
2 - Ein eigenes Interface oder abstrakte Klasse definiert
3 – Erweiterbare Architektur mit Interfaces und Factories</t>
      </text>
    </comment>
  </commentList>
  <extLst>
    <ext uri="GoogleSheetsCustomDataVersion1">
      <go:sheetsCustomData xmlns:go="http://customooxmlschemas.google.com/" r:id="rId1" roundtripDataSignature="AMtx7mjXaRBoZr/b2w9HXpZn9gn5+Red9A=="/>
    </ext>
  </extLst>
</comments>
</file>

<file path=xl/sharedStrings.xml><?xml version="1.0" encoding="utf-8"?>
<sst xmlns="http://schemas.openxmlformats.org/spreadsheetml/2006/main" count="79" uniqueCount="63">
  <si>
    <t>Vornamae</t>
  </si>
  <si>
    <t>Nachname</t>
  </si>
  <si>
    <t>Kürzel</t>
  </si>
  <si>
    <t>Matrikelnummer</t>
  </si>
  <si>
    <t xml:space="preserve">Projekt </t>
  </si>
  <si>
    <t>Arc.</t>
  </si>
  <si>
    <t>Clean Code</t>
  </si>
  <si>
    <t>Doku</t>
  </si>
  <si>
    <t>Tests</t>
  </si>
  <si>
    <t>GUI</t>
  </si>
  <si>
    <t xml:space="preserve">Logging/Except. </t>
  </si>
  <si>
    <t>UML</t>
  </si>
  <si>
    <t>hhh</t>
  </si>
  <si>
    <t>Streams</t>
  </si>
  <si>
    <t>Profiling</t>
  </si>
  <si>
    <t>Summe - Projekt</t>
  </si>
  <si>
    <t>Kommentar</t>
  </si>
  <si>
    <t>Projekt-Note</t>
  </si>
  <si>
    <t>Jonas</t>
  </si>
  <si>
    <t>Öhler</t>
  </si>
  <si>
    <t>jo041</t>
  </si>
  <si>
    <t>LMS</t>
  </si>
  <si>
    <t>Adib</t>
  </si>
  <si>
    <t>Shaqaiq</t>
  </si>
  <si>
    <t>as448</t>
  </si>
  <si>
    <t>Vorname</t>
  </si>
  <si>
    <t>Aufgabe 1</t>
  </si>
  <si>
    <t>Aufgabe 2</t>
  </si>
  <si>
    <t>Aufgabe 3</t>
  </si>
  <si>
    <t>Aufgabe 4</t>
  </si>
  <si>
    <t>Aufgabe 5</t>
  </si>
  <si>
    <t>Aufgabe 6</t>
  </si>
  <si>
    <t>Aufgabe 7</t>
  </si>
  <si>
    <t>Aufgabe 8</t>
  </si>
  <si>
    <t>Aufgabe 9</t>
  </si>
  <si>
    <t>Aufgabe 10</t>
  </si>
  <si>
    <t>Punkte</t>
  </si>
  <si>
    <t>Note</t>
  </si>
  <si>
    <t>Projekt</t>
  </si>
  <si>
    <t>Klausur</t>
  </si>
  <si>
    <t>Gesamtnote</t>
  </si>
  <si>
    <t>Min</t>
  </si>
  <si>
    <t>Max</t>
  </si>
  <si>
    <t>96 - 100</t>
  </si>
  <si>
    <t>29 - 30</t>
  </si>
  <si>
    <t>91 - 95</t>
  </si>
  <si>
    <t>27 -28</t>
  </si>
  <si>
    <t>85 - 90</t>
  </si>
  <si>
    <t>25 - 26</t>
  </si>
  <si>
    <t>80 - 84</t>
  </si>
  <si>
    <t>75 - 79</t>
  </si>
  <si>
    <t>70 - 74</t>
  </si>
  <si>
    <t>21 - 22</t>
  </si>
  <si>
    <t>65 - 69</t>
  </si>
  <si>
    <t>60 - 64</t>
  </si>
  <si>
    <t>18 - 19</t>
  </si>
  <si>
    <t>55 - 59</t>
  </si>
  <si>
    <t>50 - 54</t>
  </si>
  <si>
    <t>15 -16</t>
  </si>
  <si>
    <t>15 - 49</t>
  </si>
  <si>
    <t>5 - 14</t>
  </si>
  <si>
    <t>0 - 14</t>
  </si>
  <si>
    <t>0 - 4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</si>
</sst>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sz val="1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0" numFmtId="2" xfId="0" applyAlignment="1" applyFont="1" applyNumberFormat="1">
      <alignment shrinkToFit="0" vertical="bottom" wrapText="0"/>
    </xf>
    <xf borderId="0" fillId="2" fontId="4" numFmtId="0" xfId="0" applyAlignment="1" applyFill="1" applyFont="1">
      <alignment horizontal="left" readingOrder="0"/>
    </xf>
    <xf borderId="0" fillId="0" fontId="5" numFmtId="2" xfId="0" applyAlignment="1" applyFont="1" applyNumberFormat="1">
      <alignment shrinkToFit="0" vertical="bottom" wrapText="0"/>
    </xf>
    <xf borderId="0" fillId="0" fontId="3" numFmtId="0" xfId="0" applyFont="1"/>
    <xf borderId="0" fillId="0" fontId="5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horizontal="left"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horizontal="left" shrinkToFit="0" vertical="bottom" wrapText="0"/>
    </xf>
    <xf borderId="0" fillId="0" fontId="5" numFmtId="49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742950</xdr:colOff>
      <xdr:row>1</xdr:row>
      <xdr:rowOff>133350</xdr:rowOff>
    </xdr:from>
    <xdr:ext cx="3486150" cy="866775"/>
    <xdr:sp>
      <xdr:nvSpPr>
        <xdr:cNvPr id="3" name="Shape 3"/>
        <xdr:cNvSpPr/>
      </xdr:nvSpPr>
      <xdr:spPr>
        <a:xfrm>
          <a:off x="3602925" y="3351375"/>
          <a:ext cx="3486150" cy="857250"/>
        </a:xfrm>
        <a:prstGeom prst="rect">
          <a:avLst/>
        </a:prstGeom>
        <a:solidFill>
          <a:srgbClr val="FFFF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Zusammensetzung der SE2-Note: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Das Projekt zählt zu 33% in die Gesamtnote. Die Berechung kann hier getestet werden.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6.57"/>
    <col customWidth="1" min="5" max="5" width="16.86"/>
    <col customWidth="1" min="6" max="6" width="12.14"/>
    <col customWidth="1" min="7" max="7" width="4.43"/>
    <col customWidth="1" min="8" max="8" width="11.71"/>
    <col customWidth="1" min="9" max="9" width="6.29"/>
    <col customWidth="1" min="10" max="10" width="6.14"/>
    <col customWidth="1" min="11" max="11" width="4.43"/>
    <col customWidth="1" min="12" max="12" width="14.57"/>
    <col customWidth="1" min="13" max="13" width="6.29"/>
    <col customWidth="1" min="14" max="14" width="8.29"/>
    <col customWidth="1" min="15" max="15" width="8.86"/>
    <col customWidth="1" min="16" max="16" width="10.0"/>
    <col customWidth="1" min="17" max="17" width="20.71"/>
    <col customWidth="1" min="18" max="18" width="22.43"/>
    <col customWidth="1" min="19" max="19" width="23.71"/>
    <col customWidth="1" min="20" max="26" width="8.71"/>
  </cols>
  <sheetData>
    <row r="1" ht="13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</row>
    <row r="2" ht="13.5" customHeight="1">
      <c r="B2" s="4" t="s">
        <v>18</v>
      </c>
      <c r="C2" s="4" t="s">
        <v>19</v>
      </c>
      <c r="D2" s="4" t="s">
        <v>20</v>
      </c>
      <c r="E2" s="4">
        <v>44338.0</v>
      </c>
      <c r="F2" s="4" t="s">
        <v>21</v>
      </c>
      <c r="G2" s="4">
        <v>2.0</v>
      </c>
      <c r="H2" s="4">
        <v>2.0</v>
      </c>
      <c r="I2" s="4">
        <v>3.0</v>
      </c>
      <c r="J2" s="4">
        <v>0.0</v>
      </c>
      <c r="K2" s="4">
        <v>3.0</v>
      </c>
      <c r="L2" s="4">
        <v>3.0</v>
      </c>
      <c r="M2" s="4">
        <v>3.0</v>
      </c>
      <c r="N2" s="4">
        <v>3.0</v>
      </c>
      <c r="O2" s="4">
        <v>3.0</v>
      </c>
      <c r="P2" s="4">
        <v>0.0</v>
      </c>
      <c r="Q2" s="5">
        <f t="shared" ref="Q2:Q80" si="1">SUM(G2:P2)</f>
        <v>22</v>
      </c>
      <c r="S2" s="5">
        <f>VLOOKUP(Q2,Notenspiegel!$D$17:$E$47,2,0)</f>
        <v>2.7</v>
      </c>
    </row>
    <row r="3" ht="13.5" customHeight="1">
      <c r="B3" s="4" t="s">
        <v>22</v>
      </c>
      <c r="C3" s="4" t="s">
        <v>23</v>
      </c>
      <c r="D3" s="4" t="s">
        <v>24</v>
      </c>
      <c r="E3" s="4">
        <v>44163.0</v>
      </c>
      <c r="F3" s="6" t="s">
        <v>21</v>
      </c>
      <c r="G3" s="4">
        <v>2.0</v>
      </c>
      <c r="H3" s="4">
        <v>2.0</v>
      </c>
      <c r="I3" s="4">
        <v>3.0</v>
      </c>
      <c r="J3" s="4">
        <v>0.0</v>
      </c>
      <c r="K3" s="4">
        <v>3.0</v>
      </c>
      <c r="L3" s="4">
        <v>3.0</v>
      </c>
      <c r="M3" s="4">
        <v>3.0</v>
      </c>
      <c r="N3" s="4">
        <v>3.0</v>
      </c>
      <c r="O3" s="4">
        <v>3.0</v>
      </c>
      <c r="P3" s="4">
        <v>0.0</v>
      </c>
      <c r="Q3" s="5">
        <f t="shared" si="1"/>
        <v>22</v>
      </c>
      <c r="S3" s="5">
        <f>VLOOKUP(Q3,Notenspiegel!$D$17:$E$47,2,0)</f>
        <v>2.7</v>
      </c>
    </row>
    <row r="4" ht="13.5" customHeight="1">
      <c r="Q4" s="7">
        <f t="shared" si="1"/>
        <v>0</v>
      </c>
      <c r="S4" s="7">
        <f>VLOOKUP(Q4,Notenspiegel!$D$17:$E$47,2,0)</f>
        <v>5</v>
      </c>
    </row>
    <row r="5" ht="13.5" customHeight="1">
      <c r="Q5" s="7">
        <f t="shared" si="1"/>
        <v>0</v>
      </c>
      <c r="S5" s="7">
        <f>VLOOKUP(Q5,Notenspiegel!$D$17:$E$47,2,0)</f>
        <v>5</v>
      </c>
    </row>
    <row r="6" ht="13.5" customHeight="1">
      <c r="Q6" s="7">
        <f t="shared" si="1"/>
        <v>0</v>
      </c>
      <c r="S6" s="7">
        <f>VLOOKUP(Q6,Notenspiegel!$D$17:$E$47,2,0)</f>
        <v>5</v>
      </c>
    </row>
    <row r="7" ht="13.5" customHeight="1">
      <c r="Q7" s="7">
        <f t="shared" si="1"/>
        <v>0</v>
      </c>
      <c r="S7" s="7">
        <f>VLOOKUP(Q7,Notenspiegel!$D$17:$E$47,2,0)</f>
        <v>5</v>
      </c>
    </row>
    <row r="8" ht="13.5" customHeight="1">
      <c r="Q8" s="7">
        <f t="shared" si="1"/>
        <v>0</v>
      </c>
      <c r="S8" s="7">
        <f>VLOOKUP(Q8,Notenspiegel!$D$17:$E$47,2,0)</f>
        <v>5</v>
      </c>
    </row>
    <row r="9" ht="13.5" customHeight="1">
      <c r="Q9" s="7">
        <f t="shared" si="1"/>
        <v>0</v>
      </c>
      <c r="S9" s="7">
        <f>VLOOKUP(Q9,Notenspiegel!$D$17:$E$47,2,0)</f>
        <v>5</v>
      </c>
    </row>
    <row r="10" ht="13.5" customHeight="1">
      <c r="Q10" s="7">
        <f t="shared" si="1"/>
        <v>0</v>
      </c>
      <c r="S10" s="7">
        <f>VLOOKUP(Q10,Notenspiegel!$D$17:$E$47,2,0)</f>
        <v>5</v>
      </c>
    </row>
    <row r="11" ht="13.5" customHeight="1">
      <c r="Q11" s="7">
        <f t="shared" si="1"/>
        <v>0</v>
      </c>
      <c r="S11" s="7">
        <f>VLOOKUP(Q11,Notenspiegel!$D$17:$E$47,2,0)</f>
        <v>5</v>
      </c>
    </row>
    <row r="12" ht="13.5" customHeight="1">
      <c r="Q12" s="7">
        <f t="shared" si="1"/>
        <v>0</v>
      </c>
      <c r="S12" s="7">
        <f>VLOOKUP(Q12,Notenspiegel!$D$17:$E$47,2,0)</f>
        <v>5</v>
      </c>
    </row>
    <row r="13" ht="13.5" customHeight="1">
      <c r="Q13" s="7">
        <f t="shared" si="1"/>
        <v>0</v>
      </c>
      <c r="S13" s="7">
        <f>VLOOKUP(Q13,Notenspiegel!$D$17:$E$47,2,0)</f>
        <v>5</v>
      </c>
    </row>
    <row r="14" ht="13.5" customHeight="1">
      <c r="Q14" s="7">
        <f t="shared" si="1"/>
        <v>0</v>
      </c>
      <c r="S14" s="7">
        <f>VLOOKUP(Q14,Notenspiegel!$D$17:$E$47,2,0)</f>
        <v>5</v>
      </c>
    </row>
    <row r="15" ht="13.5" customHeight="1">
      <c r="Q15" s="7">
        <f t="shared" si="1"/>
        <v>0</v>
      </c>
      <c r="S15" s="7">
        <f>VLOOKUP(Q15,Notenspiegel!$D$17:$E$47,2,0)</f>
        <v>5</v>
      </c>
    </row>
    <row r="16" ht="13.5" customHeight="1">
      <c r="Q16" s="7">
        <f t="shared" si="1"/>
        <v>0</v>
      </c>
      <c r="S16" s="7">
        <f>VLOOKUP(Q16,Notenspiegel!$D$17:$E$47,2,0)</f>
        <v>5</v>
      </c>
    </row>
    <row r="17" ht="13.5" customHeight="1">
      <c r="Q17" s="7">
        <f t="shared" si="1"/>
        <v>0</v>
      </c>
      <c r="S17" s="7">
        <f>VLOOKUP(Q17,Notenspiegel!$D$17:$E$47,2,0)</f>
        <v>5</v>
      </c>
    </row>
    <row r="18" ht="13.5" customHeight="1">
      <c r="Q18" s="7">
        <f t="shared" si="1"/>
        <v>0</v>
      </c>
      <c r="S18" s="7">
        <f>VLOOKUP(Q18,Notenspiegel!$D$17:$E$47,2,0)</f>
        <v>5</v>
      </c>
    </row>
    <row r="19" ht="13.5" customHeight="1">
      <c r="Q19" s="7">
        <f t="shared" si="1"/>
        <v>0</v>
      </c>
      <c r="S19" s="7">
        <f>VLOOKUP(Q19,Notenspiegel!$D$17:$E$47,2,0)</f>
        <v>5</v>
      </c>
    </row>
    <row r="20" ht="13.5" customHeight="1">
      <c r="Q20" s="7">
        <f t="shared" si="1"/>
        <v>0</v>
      </c>
      <c r="S20" s="7">
        <f>VLOOKUP(Q20,Notenspiegel!$D$17:$E$47,2,0)</f>
        <v>5</v>
      </c>
    </row>
    <row r="21" ht="13.5" customHeight="1">
      <c r="Q21" s="7">
        <f t="shared" si="1"/>
        <v>0</v>
      </c>
      <c r="S21" s="7">
        <f>VLOOKUP(Q21,Notenspiegel!$D$17:$E$47,2,0)</f>
        <v>5</v>
      </c>
    </row>
    <row r="22" ht="13.5" customHeight="1">
      <c r="Q22" s="7">
        <f t="shared" si="1"/>
        <v>0</v>
      </c>
      <c r="S22" s="7">
        <f>VLOOKUP(Q22,Notenspiegel!$D$17:$E$47,2,0)</f>
        <v>5</v>
      </c>
    </row>
    <row r="23" ht="13.5" customHeight="1">
      <c r="Q23" s="7">
        <f t="shared" si="1"/>
        <v>0</v>
      </c>
      <c r="S23" s="7">
        <f>VLOOKUP(Q23,Notenspiegel!$D$17:$E$47,2,0)</f>
        <v>5</v>
      </c>
    </row>
    <row r="24" ht="13.5" customHeight="1">
      <c r="Q24" s="7">
        <f t="shared" si="1"/>
        <v>0</v>
      </c>
      <c r="S24" s="7">
        <f>VLOOKUP(Q24,Notenspiegel!$D$17:$E$47,2,0)</f>
        <v>5</v>
      </c>
    </row>
    <row r="25" ht="13.5" customHeight="1">
      <c r="Q25" s="7">
        <f t="shared" si="1"/>
        <v>0</v>
      </c>
      <c r="S25" s="7">
        <f>VLOOKUP(Q25,Notenspiegel!$D$17:$E$47,2,0)</f>
        <v>5</v>
      </c>
    </row>
    <row r="26" ht="13.5" customHeight="1">
      <c r="Q26" s="7">
        <f t="shared" si="1"/>
        <v>0</v>
      </c>
      <c r="S26" s="7">
        <f>VLOOKUP(Q26,Notenspiegel!$D$17:$E$47,2,0)</f>
        <v>5</v>
      </c>
    </row>
    <row r="27" ht="13.5" customHeight="1">
      <c r="Q27" s="7">
        <f t="shared" si="1"/>
        <v>0</v>
      </c>
      <c r="S27" s="7">
        <f>VLOOKUP(Q27,Notenspiegel!$D$17:$E$47,2,0)</f>
        <v>5</v>
      </c>
    </row>
    <row r="28" ht="13.5" customHeight="1">
      <c r="Q28" s="7">
        <f t="shared" si="1"/>
        <v>0</v>
      </c>
      <c r="S28" s="7">
        <f>VLOOKUP(Q28,Notenspiegel!$D$17:$E$47,2,0)</f>
        <v>5</v>
      </c>
    </row>
    <row r="29" ht="13.5" customHeight="1">
      <c r="Q29" s="7">
        <f t="shared" si="1"/>
        <v>0</v>
      </c>
      <c r="S29" s="7">
        <f>VLOOKUP(Q29,Notenspiegel!$D$17:$E$47,2,0)</f>
        <v>5</v>
      </c>
    </row>
    <row r="30" ht="13.5" customHeight="1">
      <c r="Q30" s="7">
        <f t="shared" si="1"/>
        <v>0</v>
      </c>
      <c r="S30" s="7">
        <f>VLOOKUP(Q30,Notenspiegel!$D$17:$E$47,2,0)</f>
        <v>5</v>
      </c>
    </row>
    <row r="31" ht="13.5" customHeight="1">
      <c r="Q31" s="7">
        <f t="shared" si="1"/>
        <v>0</v>
      </c>
      <c r="S31" s="7">
        <f>VLOOKUP(Q31,Notenspiegel!$D$17:$E$47,2,0)</f>
        <v>5</v>
      </c>
    </row>
    <row r="32" ht="13.5" customHeight="1">
      <c r="Q32" s="7">
        <f t="shared" si="1"/>
        <v>0</v>
      </c>
      <c r="S32" s="7">
        <f>VLOOKUP(Q32,Notenspiegel!$D$17:$E$47,2,0)</f>
        <v>5</v>
      </c>
    </row>
    <row r="33" ht="13.5" customHeight="1">
      <c r="Q33" s="7">
        <f t="shared" si="1"/>
        <v>0</v>
      </c>
      <c r="S33" s="7">
        <f>VLOOKUP(Q33,Notenspiegel!$D$17:$E$47,2,0)</f>
        <v>5</v>
      </c>
    </row>
    <row r="34" ht="13.5" customHeight="1">
      <c r="Q34" s="7">
        <f t="shared" si="1"/>
        <v>0</v>
      </c>
      <c r="S34" s="7">
        <f>VLOOKUP(Q34,Notenspiegel!$D$17:$E$47,2,0)</f>
        <v>5</v>
      </c>
    </row>
    <row r="35" ht="13.5" customHeight="1">
      <c r="Q35" s="7">
        <f t="shared" si="1"/>
        <v>0</v>
      </c>
      <c r="S35" s="7">
        <f>VLOOKUP(Q35,Notenspiegel!$D$17:$E$47,2,0)</f>
        <v>5</v>
      </c>
    </row>
    <row r="36" ht="13.5" customHeight="1">
      <c r="Q36" s="7">
        <f t="shared" si="1"/>
        <v>0</v>
      </c>
      <c r="S36" s="7">
        <f>VLOOKUP(Q36,Notenspiegel!$D$17:$E$47,2,0)</f>
        <v>5</v>
      </c>
    </row>
    <row r="37" ht="13.5" customHeight="1">
      <c r="Q37" s="7">
        <f t="shared" si="1"/>
        <v>0</v>
      </c>
      <c r="S37" s="7">
        <f>VLOOKUP(Q37,Notenspiegel!$D$17:$E$47,2,0)</f>
        <v>5</v>
      </c>
    </row>
    <row r="38" ht="13.5" customHeight="1">
      <c r="Q38" s="7">
        <f t="shared" si="1"/>
        <v>0</v>
      </c>
      <c r="S38" s="7">
        <f>VLOOKUP(Q38,Notenspiegel!$D$17:$E$47,2,0)</f>
        <v>5</v>
      </c>
    </row>
    <row r="39" ht="13.5" customHeight="1">
      <c r="Q39" s="7">
        <f t="shared" si="1"/>
        <v>0</v>
      </c>
      <c r="S39" s="7">
        <f>VLOOKUP(Q39,Notenspiegel!$D$17:$E$47,2,0)</f>
        <v>5</v>
      </c>
    </row>
    <row r="40" ht="13.5" customHeight="1">
      <c r="Q40" s="7">
        <f t="shared" si="1"/>
        <v>0</v>
      </c>
      <c r="S40" s="7">
        <f>VLOOKUP(Q40,Notenspiegel!$D$17:$E$47,2,0)</f>
        <v>5</v>
      </c>
    </row>
    <row r="41" ht="13.5" customHeight="1">
      <c r="Q41" s="7">
        <f t="shared" si="1"/>
        <v>0</v>
      </c>
      <c r="S41" s="7">
        <f>VLOOKUP(Q41,Notenspiegel!$D$17:$E$47,2,0)</f>
        <v>5</v>
      </c>
    </row>
    <row r="42" ht="13.5" customHeight="1">
      <c r="Q42" s="7">
        <f t="shared" si="1"/>
        <v>0</v>
      </c>
      <c r="S42" s="7">
        <f>VLOOKUP(Q42,Notenspiegel!$D$17:$E$47,2,0)</f>
        <v>5</v>
      </c>
    </row>
    <row r="43" ht="13.5" customHeight="1">
      <c r="Q43" s="7">
        <f t="shared" si="1"/>
        <v>0</v>
      </c>
      <c r="S43" s="7">
        <f>VLOOKUP(Q43,Notenspiegel!$D$17:$E$47,2,0)</f>
        <v>5</v>
      </c>
    </row>
    <row r="44" ht="13.5" customHeight="1">
      <c r="Q44" s="7">
        <f t="shared" si="1"/>
        <v>0</v>
      </c>
      <c r="S44" s="7">
        <f>VLOOKUP(Q44,Notenspiegel!$D$17:$E$47,2,0)</f>
        <v>5</v>
      </c>
    </row>
    <row r="45" ht="13.5" customHeight="1">
      <c r="Q45" s="7">
        <f t="shared" si="1"/>
        <v>0</v>
      </c>
      <c r="S45" s="7">
        <f>VLOOKUP(Q45,Notenspiegel!$D$17:$E$47,2,0)</f>
        <v>5</v>
      </c>
    </row>
    <row r="46" ht="13.5" customHeight="1">
      <c r="Q46" s="7">
        <f t="shared" si="1"/>
        <v>0</v>
      </c>
      <c r="S46" s="7">
        <f>VLOOKUP(Q46,Notenspiegel!$D$17:$E$47,2,0)</f>
        <v>5</v>
      </c>
    </row>
    <row r="47" ht="13.5" customHeight="1">
      <c r="Q47" s="7">
        <f t="shared" si="1"/>
        <v>0</v>
      </c>
      <c r="S47" s="7">
        <f>VLOOKUP(Q47,Notenspiegel!$D$17:$E$47,2,0)</f>
        <v>5</v>
      </c>
    </row>
    <row r="48" ht="13.5" customHeight="1">
      <c r="Q48" s="7">
        <f t="shared" si="1"/>
        <v>0</v>
      </c>
      <c r="S48" s="7">
        <f>VLOOKUP(Q48,Notenspiegel!$D$17:$E$47,2,0)</f>
        <v>5</v>
      </c>
    </row>
    <row r="49" ht="13.5" customHeight="1">
      <c r="Q49" s="7">
        <f t="shared" si="1"/>
        <v>0</v>
      </c>
      <c r="S49" s="7">
        <f>VLOOKUP(Q49,Notenspiegel!$D$17:$E$47,2,0)</f>
        <v>5</v>
      </c>
    </row>
    <row r="50" ht="13.5" customHeight="1">
      <c r="Q50" s="7">
        <f t="shared" si="1"/>
        <v>0</v>
      </c>
      <c r="S50" s="7">
        <f>VLOOKUP(Q50,Notenspiegel!$D$17:$E$47,2,0)</f>
        <v>5</v>
      </c>
    </row>
    <row r="51" ht="13.5" customHeight="1">
      <c r="Q51" s="7">
        <f t="shared" si="1"/>
        <v>0</v>
      </c>
      <c r="S51" s="7">
        <f>VLOOKUP(Q51,Notenspiegel!$D$17:$E$47,2,0)</f>
        <v>5</v>
      </c>
    </row>
    <row r="52" ht="13.5" customHeight="1">
      <c r="Q52" s="7">
        <f t="shared" si="1"/>
        <v>0</v>
      </c>
      <c r="S52" s="7">
        <f>VLOOKUP(Q52,Notenspiegel!$D$17:$E$47,2,0)</f>
        <v>5</v>
      </c>
    </row>
    <row r="53" ht="13.5" customHeight="1">
      <c r="Q53" s="7">
        <f t="shared" si="1"/>
        <v>0</v>
      </c>
      <c r="S53" s="7">
        <f>VLOOKUP(Q53,Notenspiegel!$D$17:$E$47,2,0)</f>
        <v>5</v>
      </c>
    </row>
    <row r="54" ht="13.5" customHeight="1">
      <c r="Q54" s="7">
        <f t="shared" si="1"/>
        <v>0</v>
      </c>
      <c r="S54" s="7">
        <f>VLOOKUP(Q54,Notenspiegel!$D$17:$E$47,2,0)</f>
        <v>5</v>
      </c>
    </row>
    <row r="55" ht="13.5" customHeight="1">
      <c r="Q55" s="7">
        <f t="shared" si="1"/>
        <v>0</v>
      </c>
      <c r="S55" s="7">
        <f>VLOOKUP(Q55,Notenspiegel!$D$17:$E$47,2,0)</f>
        <v>5</v>
      </c>
    </row>
    <row r="56" ht="13.5" customHeight="1">
      <c r="Q56" s="7">
        <f t="shared" si="1"/>
        <v>0</v>
      </c>
      <c r="S56" s="7">
        <f>VLOOKUP(Q56,Notenspiegel!$D$17:$E$47,2,0)</f>
        <v>5</v>
      </c>
    </row>
    <row r="57" ht="13.5" customHeight="1">
      <c r="Q57" s="7">
        <f t="shared" si="1"/>
        <v>0</v>
      </c>
      <c r="S57" s="7">
        <f>VLOOKUP(Q57,Notenspiegel!$D$17:$E$47,2,0)</f>
        <v>5</v>
      </c>
    </row>
    <row r="58" ht="13.5" customHeight="1">
      <c r="Q58" s="7">
        <f t="shared" si="1"/>
        <v>0</v>
      </c>
      <c r="S58" s="7">
        <f>VLOOKUP(Q58,Notenspiegel!$D$17:$E$47,2,0)</f>
        <v>5</v>
      </c>
    </row>
    <row r="59" ht="13.5" customHeight="1">
      <c r="Q59" s="7">
        <f t="shared" si="1"/>
        <v>0</v>
      </c>
      <c r="S59" s="7">
        <f>VLOOKUP(Q59,Notenspiegel!$D$17:$E$47,2,0)</f>
        <v>5</v>
      </c>
    </row>
    <row r="60" ht="13.5" customHeight="1">
      <c r="Q60" s="7">
        <f t="shared" si="1"/>
        <v>0</v>
      </c>
      <c r="S60" s="7">
        <f>VLOOKUP(Q60,Notenspiegel!$D$17:$E$47,2,0)</f>
        <v>5</v>
      </c>
    </row>
    <row r="61" ht="13.5" customHeight="1">
      <c r="Q61" s="7">
        <f t="shared" si="1"/>
        <v>0</v>
      </c>
      <c r="S61" s="7">
        <f>VLOOKUP(Q61,Notenspiegel!$D$17:$E$47,2,0)</f>
        <v>5</v>
      </c>
    </row>
    <row r="62" ht="13.5" customHeight="1">
      <c r="Q62" s="7">
        <f t="shared" si="1"/>
        <v>0</v>
      </c>
      <c r="S62" s="7">
        <f>VLOOKUP(Q62,Notenspiegel!$D$17:$E$47,2,0)</f>
        <v>5</v>
      </c>
    </row>
    <row r="63" ht="13.5" customHeight="1">
      <c r="Q63" s="7">
        <f t="shared" si="1"/>
        <v>0</v>
      </c>
      <c r="S63" s="7">
        <f>VLOOKUP(Q63,Notenspiegel!$D$17:$E$47,2,0)</f>
        <v>5</v>
      </c>
    </row>
    <row r="64" ht="13.5" customHeight="1">
      <c r="Q64" s="7">
        <f t="shared" si="1"/>
        <v>0</v>
      </c>
      <c r="S64" s="7">
        <f>VLOOKUP(Q64,Notenspiegel!$D$17:$E$47,2,0)</f>
        <v>5</v>
      </c>
    </row>
    <row r="65" ht="13.5" customHeight="1">
      <c r="Q65" s="7">
        <f t="shared" si="1"/>
        <v>0</v>
      </c>
      <c r="S65" s="7">
        <f>VLOOKUP(Q65,Notenspiegel!$D$17:$E$47,2,0)</f>
        <v>5</v>
      </c>
    </row>
    <row r="66" ht="13.5" customHeight="1">
      <c r="Q66" s="7">
        <f t="shared" si="1"/>
        <v>0</v>
      </c>
      <c r="S66" s="7">
        <f>VLOOKUP(Q66,Notenspiegel!$D$17:$E$47,2,0)</f>
        <v>5</v>
      </c>
    </row>
    <row r="67" ht="13.5" customHeight="1">
      <c r="Q67" s="7">
        <f t="shared" si="1"/>
        <v>0</v>
      </c>
      <c r="S67" s="7">
        <f>VLOOKUP(Q67,Notenspiegel!$D$17:$E$47,2,0)</f>
        <v>5</v>
      </c>
    </row>
    <row r="68" ht="13.5" customHeight="1">
      <c r="Q68" s="7">
        <f t="shared" si="1"/>
        <v>0</v>
      </c>
      <c r="S68" s="7">
        <f>VLOOKUP(Q68,Notenspiegel!$D$17:$E$47,2,0)</f>
        <v>5</v>
      </c>
    </row>
    <row r="69" ht="13.5" customHeight="1">
      <c r="Q69" s="7">
        <f t="shared" si="1"/>
        <v>0</v>
      </c>
      <c r="S69" s="7">
        <f>VLOOKUP(Q69,Notenspiegel!$D$17:$E$47,2,0)</f>
        <v>5</v>
      </c>
    </row>
    <row r="70" ht="13.5" customHeight="1">
      <c r="Q70" s="7">
        <f t="shared" si="1"/>
        <v>0</v>
      </c>
      <c r="S70" s="7">
        <f>VLOOKUP(Q70,Notenspiegel!$D$17:$E$47,2,0)</f>
        <v>5</v>
      </c>
    </row>
    <row r="71" ht="13.5" customHeight="1">
      <c r="Q71" s="7">
        <f t="shared" si="1"/>
        <v>0</v>
      </c>
      <c r="S71" s="7">
        <f>VLOOKUP(Q71,Notenspiegel!$D$17:$E$47,2,0)</f>
        <v>5</v>
      </c>
    </row>
    <row r="72" ht="13.5" customHeight="1">
      <c r="Q72" s="7">
        <f t="shared" si="1"/>
        <v>0</v>
      </c>
      <c r="S72" s="7">
        <f>VLOOKUP(Q72,Notenspiegel!$D$17:$E$47,2,0)</f>
        <v>5</v>
      </c>
    </row>
    <row r="73" ht="13.5" customHeight="1">
      <c r="Q73" s="7">
        <f t="shared" si="1"/>
        <v>0</v>
      </c>
      <c r="S73" s="7">
        <f>VLOOKUP(Q73,Notenspiegel!$D$17:$E$47,2,0)</f>
        <v>5</v>
      </c>
    </row>
    <row r="74" ht="13.5" customHeight="1">
      <c r="Q74" s="7">
        <f t="shared" si="1"/>
        <v>0</v>
      </c>
      <c r="S74" s="7">
        <f>VLOOKUP(Q74,Notenspiegel!$D$17:$E$47,2,0)</f>
        <v>5</v>
      </c>
    </row>
    <row r="75" ht="13.5" customHeight="1">
      <c r="Q75" s="7">
        <f t="shared" si="1"/>
        <v>0</v>
      </c>
      <c r="S75" s="7">
        <f>VLOOKUP(Q75,Notenspiegel!$D$17:$E$47,2,0)</f>
        <v>5</v>
      </c>
    </row>
    <row r="76" ht="13.5" customHeight="1">
      <c r="Q76" s="7">
        <f t="shared" si="1"/>
        <v>0</v>
      </c>
      <c r="S76" s="7">
        <f>VLOOKUP(Q76,Notenspiegel!$D$17:$E$47,2,0)</f>
        <v>5</v>
      </c>
    </row>
    <row r="77" ht="13.5" customHeight="1">
      <c r="Q77" s="7">
        <f t="shared" si="1"/>
        <v>0</v>
      </c>
      <c r="S77" s="7">
        <f>VLOOKUP(Q77,Notenspiegel!$D$17:$E$47,2,0)</f>
        <v>5</v>
      </c>
    </row>
    <row r="78" ht="13.5" customHeight="1">
      <c r="Q78" s="7">
        <f t="shared" si="1"/>
        <v>0</v>
      </c>
      <c r="S78" s="7">
        <f>VLOOKUP(Q78,Notenspiegel!$D$17:$E$47,2,0)</f>
        <v>5</v>
      </c>
    </row>
    <row r="79" ht="13.5" customHeight="1">
      <c r="Q79" s="7">
        <f t="shared" si="1"/>
        <v>0</v>
      </c>
      <c r="S79" s="7">
        <f>VLOOKUP(Q79,Notenspiegel!$D$17:$E$47,2,0)</f>
        <v>5</v>
      </c>
    </row>
    <row r="80" ht="13.5" customHeight="1">
      <c r="Q80" s="7">
        <f t="shared" si="1"/>
        <v>0</v>
      </c>
      <c r="S80" s="7">
        <f>VLOOKUP(Q80,Notenspiegel!$D$17:$E$47,2,0)</f>
        <v>5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7" right="0.7" top="0.78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14"/>
    <col customWidth="1" min="5" max="16" width="10.71"/>
    <col customWidth="1" min="17" max="26" width="8.71"/>
  </cols>
  <sheetData>
    <row r="1" ht="14.25" customHeight="1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ht="14.25" customHeight="1">
      <c r="O2" s="8">
        <f t="shared" ref="O2:O79" si="1">SUM(E2:N2)</f>
        <v>0</v>
      </c>
      <c r="P2" s="9">
        <f>VLOOKUP(O2,Notenspiegel!$A$17:$B$117,2,0)</f>
        <v>5</v>
      </c>
    </row>
    <row r="3" ht="14.25" customHeight="1">
      <c r="O3" s="8">
        <f t="shared" si="1"/>
        <v>0</v>
      </c>
      <c r="P3" s="9">
        <f>VLOOKUP(O3,Notenspiegel!$A$17:$B$117,2,0)</f>
        <v>5</v>
      </c>
    </row>
    <row r="4" ht="14.25" customHeight="1">
      <c r="O4" s="8">
        <f t="shared" si="1"/>
        <v>0</v>
      </c>
      <c r="P4" s="9">
        <f>VLOOKUP(O4,Notenspiegel!$A$17:$B$117,2,0)</f>
        <v>5</v>
      </c>
    </row>
    <row r="5" ht="14.25" customHeight="1">
      <c r="O5" s="8">
        <f t="shared" si="1"/>
        <v>0</v>
      </c>
      <c r="P5" s="9">
        <f>VLOOKUP(O5,Notenspiegel!$A$17:$B$117,2,0)</f>
        <v>5</v>
      </c>
    </row>
    <row r="6" ht="14.25" customHeight="1">
      <c r="O6" s="8">
        <f t="shared" si="1"/>
        <v>0</v>
      </c>
      <c r="P6" s="9">
        <f>VLOOKUP(O6,Notenspiegel!$A$17:$B$117,2,0)</f>
        <v>5</v>
      </c>
    </row>
    <row r="7" ht="14.25" customHeight="1">
      <c r="O7" s="8">
        <f t="shared" si="1"/>
        <v>0</v>
      </c>
      <c r="P7" s="9">
        <f>VLOOKUP(O7,Notenspiegel!$A$17:$B$117,2,0)</f>
        <v>5</v>
      </c>
    </row>
    <row r="8" ht="14.25" customHeight="1">
      <c r="O8" s="8">
        <f t="shared" si="1"/>
        <v>0</v>
      </c>
      <c r="P8" s="9">
        <f>VLOOKUP(O8,Notenspiegel!$A$17:$B$117,2,0)</f>
        <v>5</v>
      </c>
    </row>
    <row r="9" ht="14.25" customHeight="1">
      <c r="O9" s="8">
        <f t="shared" si="1"/>
        <v>0</v>
      </c>
      <c r="P9" s="9">
        <f>VLOOKUP(O9,Notenspiegel!$A$17:$B$117,2,0)</f>
        <v>5</v>
      </c>
    </row>
    <row r="10" ht="14.25" customHeight="1">
      <c r="O10" s="8">
        <f t="shared" si="1"/>
        <v>0</v>
      </c>
      <c r="P10" s="9">
        <f>VLOOKUP(O10,Notenspiegel!$A$17:$B$117,2,0)</f>
        <v>5</v>
      </c>
    </row>
    <row r="11" ht="14.25" customHeight="1">
      <c r="O11" s="8">
        <f t="shared" si="1"/>
        <v>0</v>
      </c>
      <c r="P11" s="9">
        <f>VLOOKUP(O11,Notenspiegel!$A$17:$B$117,2,0)</f>
        <v>5</v>
      </c>
    </row>
    <row r="12" ht="14.25" customHeight="1">
      <c r="O12" s="8">
        <f t="shared" si="1"/>
        <v>0</v>
      </c>
      <c r="P12" s="9">
        <f>VLOOKUP(O12,Notenspiegel!$A$17:$B$117,2,0)</f>
        <v>5</v>
      </c>
    </row>
    <row r="13" ht="14.25" customHeight="1">
      <c r="O13" s="8">
        <f t="shared" si="1"/>
        <v>0</v>
      </c>
      <c r="P13" s="9">
        <f>VLOOKUP(O13,Notenspiegel!$A$17:$B$117,2,0)</f>
        <v>5</v>
      </c>
    </row>
    <row r="14" ht="14.25" customHeight="1">
      <c r="O14" s="8">
        <f t="shared" si="1"/>
        <v>0</v>
      </c>
      <c r="P14" s="9">
        <f>VLOOKUP(O14,Notenspiegel!$A$17:$B$117,2,0)</f>
        <v>5</v>
      </c>
    </row>
    <row r="15" ht="14.25" customHeight="1">
      <c r="O15" s="8">
        <f t="shared" si="1"/>
        <v>0</v>
      </c>
      <c r="P15" s="9">
        <f>VLOOKUP(O15,Notenspiegel!$A$17:$B$117,2,0)</f>
        <v>5</v>
      </c>
    </row>
    <row r="16" ht="14.25" customHeight="1">
      <c r="O16" s="8">
        <f t="shared" si="1"/>
        <v>0</v>
      </c>
      <c r="P16" s="9">
        <f>VLOOKUP(O16,Notenspiegel!$A$17:$B$117,2,0)</f>
        <v>5</v>
      </c>
    </row>
    <row r="17" ht="14.25" customHeight="1">
      <c r="O17" s="8">
        <f t="shared" si="1"/>
        <v>0</v>
      </c>
      <c r="P17" s="9">
        <f>VLOOKUP(O17,Notenspiegel!$A$17:$B$117,2,0)</f>
        <v>5</v>
      </c>
    </row>
    <row r="18" ht="14.25" customHeight="1">
      <c r="O18" s="8">
        <f t="shared" si="1"/>
        <v>0</v>
      </c>
      <c r="P18" s="9">
        <f>VLOOKUP(O18,Notenspiegel!$A$17:$B$117,2,0)</f>
        <v>5</v>
      </c>
    </row>
    <row r="19" ht="14.25" customHeight="1">
      <c r="O19" s="8">
        <f t="shared" si="1"/>
        <v>0</v>
      </c>
      <c r="P19" s="9">
        <f>VLOOKUP(O19,Notenspiegel!$A$17:$B$117,2,0)</f>
        <v>5</v>
      </c>
    </row>
    <row r="20" ht="14.25" customHeight="1">
      <c r="O20" s="8">
        <f t="shared" si="1"/>
        <v>0</v>
      </c>
      <c r="P20" s="9">
        <f>VLOOKUP(O20,Notenspiegel!$A$17:$B$117,2,0)</f>
        <v>5</v>
      </c>
    </row>
    <row r="21" ht="14.25" customHeight="1">
      <c r="O21" s="8">
        <f t="shared" si="1"/>
        <v>0</v>
      </c>
      <c r="P21" s="9">
        <f>VLOOKUP(O21,Notenspiegel!$A$17:$B$117,2,0)</f>
        <v>5</v>
      </c>
    </row>
    <row r="22" ht="14.25" customHeight="1">
      <c r="O22" s="8">
        <f t="shared" si="1"/>
        <v>0</v>
      </c>
      <c r="P22" s="9">
        <f>VLOOKUP(O22,Notenspiegel!$A$17:$B$117,2,0)</f>
        <v>5</v>
      </c>
    </row>
    <row r="23" ht="14.25" customHeight="1">
      <c r="O23" s="8">
        <f t="shared" si="1"/>
        <v>0</v>
      </c>
      <c r="P23" s="9">
        <f>VLOOKUP(O23,Notenspiegel!$A$17:$B$117,2,0)</f>
        <v>5</v>
      </c>
    </row>
    <row r="24" ht="14.25" customHeight="1">
      <c r="O24" s="8">
        <f t="shared" si="1"/>
        <v>0</v>
      </c>
      <c r="P24" s="9">
        <f>VLOOKUP(O24,Notenspiegel!$A$17:$B$117,2,0)</f>
        <v>5</v>
      </c>
    </row>
    <row r="25" ht="14.25" customHeight="1">
      <c r="O25" s="8">
        <f t="shared" si="1"/>
        <v>0</v>
      </c>
      <c r="P25" s="9">
        <f>VLOOKUP(O25,Notenspiegel!$A$17:$B$117,2,0)</f>
        <v>5</v>
      </c>
    </row>
    <row r="26" ht="14.25" customHeight="1">
      <c r="O26" s="8">
        <f t="shared" si="1"/>
        <v>0</v>
      </c>
      <c r="P26" s="9">
        <f>VLOOKUP(O26,Notenspiegel!$A$17:$B$117,2,0)</f>
        <v>5</v>
      </c>
    </row>
    <row r="27" ht="14.25" customHeight="1">
      <c r="O27" s="8">
        <f t="shared" si="1"/>
        <v>0</v>
      </c>
      <c r="P27" s="9">
        <f>VLOOKUP(O27,Notenspiegel!$A$17:$B$117,2,0)</f>
        <v>5</v>
      </c>
    </row>
    <row r="28" ht="14.25" customHeight="1">
      <c r="O28" s="8">
        <f t="shared" si="1"/>
        <v>0</v>
      </c>
      <c r="P28" s="9">
        <f>VLOOKUP(O28,Notenspiegel!$A$17:$B$117,2,0)</f>
        <v>5</v>
      </c>
    </row>
    <row r="29" ht="14.25" customHeight="1">
      <c r="O29" s="8">
        <f t="shared" si="1"/>
        <v>0</v>
      </c>
      <c r="P29" s="9">
        <f>VLOOKUP(O29,Notenspiegel!$A$17:$B$117,2,0)</f>
        <v>5</v>
      </c>
    </row>
    <row r="30" ht="14.25" customHeight="1">
      <c r="O30" s="8">
        <f t="shared" si="1"/>
        <v>0</v>
      </c>
      <c r="P30" s="9">
        <f>VLOOKUP(O30,Notenspiegel!$A$17:$B$117,2,0)</f>
        <v>5</v>
      </c>
    </row>
    <row r="31" ht="14.25" customHeight="1">
      <c r="O31" s="8">
        <f t="shared" si="1"/>
        <v>0</v>
      </c>
      <c r="P31" s="9">
        <f>VLOOKUP(O31,Notenspiegel!$A$17:$B$117,2,0)</f>
        <v>5</v>
      </c>
    </row>
    <row r="32" ht="14.25" customHeight="1">
      <c r="O32" s="8">
        <f t="shared" si="1"/>
        <v>0</v>
      </c>
      <c r="P32" s="9">
        <f>VLOOKUP(O32,Notenspiegel!$A$17:$B$117,2,0)</f>
        <v>5</v>
      </c>
    </row>
    <row r="33" ht="14.25" customHeight="1">
      <c r="O33" s="8">
        <f t="shared" si="1"/>
        <v>0</v>
      </c>
      <c r="P33" s="9">
        <f>VLOOKUP(O33,Notenspiegel!$A$17:$B$117,2,0)</f>
        <v>5</v>
      </c>
    </row>
    <row r="34" ht="14.25" customHeight="1">
      <c r="O34" s="8">
        <f t="shared" si="1"/>
        <v>0</v>
      </c>
      <c r="P34" s="9">
        <f>VLOOKUP(O34,Notenspiegel!$A$17:$B$117,2,0)</f>
        <v>5</v>
      </c>
    </row>
    <row r="35" ht="14.25" customHeight="1">
      <c r="O35" s="8">
        <f t="shared" si="1"/>
        <v>0</v>
      </c>
      <c r="P35" s="9">
        <f>VLOOKUP(O35,Notenspiegel!$A$17:$B$117,2,0)</f>
        <v>5</v>
      </c>
    </row>
    <row r="36" ht="14.25" customHeight="1">
      <c r="O36" s="8">
        <f t="shared" si="1"/>
        <v>0</v>
      </c>
      <c r="P36" s="9">
        <f>VLOOKUP(O36,Notenspiegel!$A$17:$B$117,2,0)</f>
        <v>5</v>
      </c>
    </row>
    <row r="37" ht="14.25" customHeight="1">
      <c r="O37" s="8">
        <f t="shared" si="1"/>
        <v>0</v>
      </c>
      <c r="P37" s="9">
        <f>VLOOKUP(O37,Notenspiegel!$A$17:$B$117,2,0)</f>
        <v>5</v>
      </c>
    </row>
    <row r="38" ht="14.25" customHeight="1">
      <c r="O38" s="8">
        <f t="shared" si="1"/>
        <v>0</v>
      </c>
      <c r="P38" s="9">
        <f>VLOOKUP(O38,Notenspiegel!$A$17:$B$117,2,0)</f>
        <v>5</v>
      </c>
    </row>
    <row r="39" ht="14.25" customHeight="1">
      <c r="O39" s="8">
        <f t="shared" si="1"/>
        <v>0</v>
      </c>
      <c r="P39" s="9">
        <f>VLOOKUP(O39,Notenspiegel!$A$17:$B$117,2,0)</f>
        <v>5</v>
      </c>
    </row>
    <row r="40" ht="14.25" customHeight="1">
      <c r="O40" s="8">
        <f t="shared" si="1"/>
        <v>0</v>
      </c>
      <c r="P40" s="9">
        <f>VLOOKUP(O40,Notenspiegel!$A$17:$B$117,2,0)</f>
        <v>5</v>
      </c>
    </row>
    <row r="41" ht="14.25" customHeight="1">
      <c r="O41" s="8">
        <f t="shared" si="1"/>
        <v>0</v>
      </c>
      <c r="P41" s="9">
        <f>VLOOKUP(O41,Notenspiegel!$A$17:$B$117,2,0)</f>
        <v>5</v>
      </c>
    </row>
    <row r="42" ht="14.25" customHeight="1">
      <c r="O42" s="8">
        <f t="shared" si="1"/>
        <v>0</v>
      </c>
      <c r="P42" s="9">
        <f>VLOOKUP(O42,Notenspiegel!$A$17:$B$117,2,0)</f>
        <v>5</v>
      </c>
    </row>
    <row r="43" ht="14.25" customHeight="1">
      <c r="O43" s="8">
        <f t="shared" si="1"/>
        <v>0</v>
      </c>
      <c r="P43" s="9">
        <f>VLOOKUP(O43,Notenspiegel!$A$17:$B$117,2,0)</f>
        <v>5</v>
      </c>
    </row>
    <row r="44" ht="14.25" customHeight="1">
      <c r="O44" s="8">
        <f t="shared" si="1"/>
        <v>0</v>
      </c>
      <c r="P44" s="9">
        <f>VLOOKUP(O44,Notenspiegel!$A$17:$B$117,2,0)</f>
        <v>5</v>
      </c>
    </row>
    <row r="45" ht="14.25" customHeight="1">
      <c r="O45" s="8">
        <f t="shared" si="1"/>
        <v>0</v>
      </c>
      <c r="P45" s="9">
        <f>VLOOKUP(O45,Notenspiegel!$A$17:$B$117,2,0)</f>
        <v>5</v>
      </c>
    </row>
    <row r="46" ht="14.25" customHeight="1">
      <c r="O46" s="8">
        <f t="shared" si="1"/>
        <v>0</v>
      </c>
      <c r="P46" s="9">
        <f>VLOOKUP(O46,Notenspiegel!$A$17:$B$117,2,0)</f>
        <v>5</v>
      </c>
    </row>
    <row r="47" ht="14.25" customHeight="1">
      <c r="O47" s="8">
        <f t="shared" si="1"/>
        <v>0</v>
      </c>
      <c r="P47" s="9">
        <f>VLOOKUP(O47,Notenspiegel!$A$17:$B$117,2,0)</f>
        <v>5</v>
      </c>
    </row>
    <row r="48" ht="14.25" customHeight="1">
      <c r="O48" s="8">
        <f t="shared" si="1"/>
        <v>0</v>
      </c>
      <c r="P48" s="9">
        <f>VLOOKUP(O48,Notenspiegel!$A$17:$B$117,2,0)</f>
        <v>5</v>
      </c>
    </row>
    <row r="49" ht="14.25" customHeight="1">
      <c r="O49" s="8">
        <f t="shared" si="1"/>
        <v>0</v>
      </c>
      <c r="P49" s="9">
        <f>VLOOKUP(O49,Notenspiegel!$A$17:$B$117,2,0)</f>
        <v>5</v>
      </c>
    </row>
    <row r="50" ht="14.25" customHeight="1">
      <c r="O50" s="8">
        <f t="shared" si="1"/>
        <v>0</v>
      </c>
      <c r="P50" s="9">
        <f>VLOOKUP(O50,Notenspiegel!$A$17:$B$117,2,0)</f>
        <v>5</v>
      </c>
    </row>
    <row r="51" ht="14.25" customHeight="1">
      <c r="O51" s="8">
        <f t="shared" si="1"/>
        <v>0</v>
      </c>
      <c r="P51" s="9">
        <f>VLOOKUP(O51,Notenspiegel!$A$17:$B$117,2,0)</f>
        <v>5</v>
      </c>
    </row>
    <row r="52" ht="14.25" customHeight="1">
      <c r="O52" s="8">
        <f t="shared" si="1"/>
        <v>0</v>
      </c>
      <c r="P52" s="9">
        <f>VLOOKUP(O52,Notenspiegel!$A$17:$B$117,2,0)</f>
        <v>5</v>
      </c>
    </row>
    <row r="53" ht="14.25" customHeight="1">
      <c r="O53" s="8">
        <f t="shared" si="1"/>
        <v>0</v>
      </c>
      <c r="P53" s="9">
        <f>VLOOKUP(O53,Notenspiegel!$A$17:$B$117,2,0)</f>
        <v>5</v>
      </c>
    </row>
    <row r="54" ht="14.25" customHeight="1">
      <c r="O54" s="8">
        <f t="shared" si="1"/>
        <v>0</v>
      </c>
      <c r="P54" s="9">
        <f>VLOOKUP(O54,Notenspiegel!$A$17:$B$117,2,0)</f>
        <v>5</v>
      </c>
    </row>
    <row r="55" ht="14.25" customHeight="1">
      <c r="O55" s="8">
        <f t="shared" si="1"/>
        <v>0</v>
      </c>
      <c r="P55" s="9">
        <f>VLOOKUP(O55,Notenspiegel!$A$17:$B$117,2,0)</f>
        <v>5</v>
      </c>
    </row>
    <row r="56" ht="14.25" customHeight="1">
      <c r="O56" s="8">
        <f t="shared" si="1"/>
        <v>0</v>
      </c>
      <c r="P56" s="9">
        <f>VLOOKUP(O56,Notenspiegel!$A$17:$B$117,2,0)</f>
        <v>5</v>
      </c>
    </row>
    <row r="57" ht="14.25" customHeight="1">
      <c r="O57" s="8">
        <f t="shared" si="1"/>
        <v>0</v>
      </c>
      <c r="P57" s="9">
        <f>VLOOKUP(O57,Notenspiegel!$A$17:$B$117,2,0)</f>
        <v>5</v>
      </c>
    </row>
    <row r="58" ht="14.25" customHeight="1">
      <c r="O58" s="8">
        <f t="shared" si="1"/>
        <v>0</v>
      </c>
      <c r="P58" s="9">
        <f>VLOOKUP(O58,Notenspiegel!$A$17:$B$117,2,0)</f>
        <v>5</v>
      </c>
    </row>
    <row r="59" ht="14.25" customHeight="1">
      <c r="O59" s="8">
        <f t="shared" si="1"/>
        <v>0</v>
      </c>
      <c r="P59" s="9">
        <f>VLOOKUP(O59,Notenspiegel!$A$17:$B$117,2,0)</f>
        <v>5</v>
      </c>
    </row>
    <row r="60" ht="14.25" customHeight="1">
      <c r="O60" s="8">
        <f t="shared" si="1"/>
        <v>0</v>
      </c>
      <c r="P60" s="9">
        <f>VLOOKUP(O60,Notenspiegel!$A$17:$B$117,2,0)</f>
        <v>5</v>
      </c>
    </row>
    <row r="61" ht="14.25" customHeight="1">
      <c r="O61" s="8">
        <f t="shared" si="1"/>
        <v>0</v>
      </c>
      <c r="P61" s="9">
        <f>VLOOKUP(O61,Notenspiegel!$A$17:$B$117,2,0)</f>
        <v>5</v>
      </c>
    </row>
    <row r="62" ht="14.25" customHeight="1">
      <c r="O62" s="8">
        <f t="shared" si="1"/>
        <v>0</v>
      </c>
      <c r="P62" s="9">
        <f>VLOOKUP(O62,Notenspiegel!$A$17:$B$117,2,0)</f>
        <v>5</v>
      </c>
    </row>
    <row r="63" ht="14.25" customHeight="1">
      <c r="O63" s="8">
        <f t="shared" si="1"/>
        <v>0</v>
      </c>
      <c r="P63" s="9">
        <f>VLOOKUP(O63,Notenspiegel!$A$17:$B$117,2,0)</f>
        <v>5</v>
      </c>
    </row>
    <row r="64" ht="14.25" customHeight="1">
      <c r="O64" s="8">
        <f t="shared" si="1"/>
        <v>0</v>
      </c>
      <c r="P64" s="9">
        <f>VLOOKUP(O64,Notenspiegel!$A$17:$B$117,2,0)</f>
        <v>5</v>
      </c>
    </row>
    <row r="65" ht="14.25" customHeight="1">
      <c r="O65" s="8">
        <f t="shared" si="1"/>
        <v>0</v>
      </c>
      <c r="P65" s="9">
        <f>VLOOKUP(O65,Notenspiegel!$A$17:$B$117,2,0)</f>
        <v>5</v>
      </c>
    </row>
    <row r="66" ht="14.25" customHeight="1">
      <c r="O66" s="8">
        <f t="shared" si="1"/>
        <v>0</v>
      </c>
      <c r="P66" s="9">
        <f>VLOOKUP(O66,Notenspiegel!$A$17:$B$117,2,0)</f>
        <v>5</v>
      </c>
    </row>
    <row r="67" ht="14.25" customHeight="1">
      <c r="O67" s="8">
        <f t="shared" si="1"/>
        <v>0</v>
      </c>
      <c r="P67" s="9">
        <f>VLOOKUP(O67,Notenspiegel!$A$17:$B$117,2,0)</f>
        <v>5</v>
      </c>
    </row>
    <row r="68" ht="14.25" customHeight="1">
      <c r="O68" s="8">
        <f t="shared" si="1"/>
        <v>0</v>
      </c>
      <c r="P68" s="9">
        <f>VLOOKUP(O68,Notenspiegel!$A$17:$B$117,2,0)</f>
        <v>5</v>
      </c>
    </row>
    <row r="69" ht="14.25" customHeight="1">
      <c r="O69" s="8">
        <f t="shared" si="1"/>
        <v>0</v>
      </c>
      <c r="P69" s="9">
        <f>VLOOKUP(O69,Notenspiegel!$A$17:$B$117,2,0)</f>
        <v>5</v>
      </c>
    </row>
    <row r="70" ht="14.25" customHeight="1">
      <c r="O70" s="8">
        <f t="shared" si="1"/>
        <v>0</v>
      </c>
      <c r="P70" s="9">
        <f>VLOOKUP(O70,Notenspiegel!$A$17:$B$117,2,0)</f>
        <v>5</v>
      </c>
    </row>
    <row r="71" ht="14.25" customHeight="1">
      <c r="O71" s="8">
        <f t="shared" si="1"/>
        <v>0</v>
      </c>
      <c r="P71" s="9">
        <f>VLOOKUP(O71,Notenspiegel!$A$17:$B$117,2,0)</f>
        <v>5</v>
      </c>
    </row>
    <row r="72" ht="14.25" customHeight="1">
      <c r="O72" s="8">
        <f t="shared" si="1"/>
        <v>0</v>
      </c>
      <c r="P72" s="9">
        <f>VLOOKUP(O72,Notenspiegel!$A$17:$B$117,2,0)</f>
        <v>5</v>
      </c>
    </row>
    <row r="73" ht="14.25" customHeight="1">
      <c r="O73" s="8">
        <f t="shared" si="1"/>
        <v>0</v>
      </c>
      <c r="P73" s="9">
        <f>VLOOKUP(O73,Notenspiegel!$A$17:$B$117,2,0)</f>
        <v>5</v>
      </c>
    </row>
    <row r="74" ht="14.25" customHeight="1">
      <c r="O74" s="8">
        <f t="shared" si="1"/>
        <v>0</v>
      </c>
      <c r="P74" s="9">
        <f>VLOOKUP(O74,Notenspiegel!$A$17:$B$117,2,0)</f>
        <v>5</v>
      </c>
    </row>
    <row r="75" ht="14.25" customHeight="1">
      <c r="O75" s="8">
        <f t="shared" si="1"/>
        <v>0</v>
      </c>
      <c r="P75" s="9">
        <f>VLOOKUP(O75,Notenspiegel!$A$17:$B$117,2,0)</f>
        <v>5</v>
      </c>
    </row>
    <row r="76" ht="14.25" customHeight="1">
      <c r="O76" s="8">
        <f t="shared" si="1"/>
        <v>0</v>
      </c>
      <c r="P76" s="9">
        <f>VLOOKUP(O76,Notenspiegel!$A$17:$B$117,2,0)</f>
        <v>5</v>
      </c>
    </row>
    <row r="77" ht="14.25" customHeight="1">
      <c r="O77" s="8">
        <f t="shared" si="1"/>
        <v>0</v>
      </c>
      <c r="P77" s="9">
        <f>VLOOKUP(O77,Notenspiegel!$A$17:$B$117,2,0)</f>
        <v>5</v>
      </c>
    </row>
    <row r="78" ht="14.25" customHeight="1">
      <c r="O78" s="8">
        <f t="shared" si="1"/>
        <v>0</v>
      </c>
      <c r="P78" s="9">
        <f>VLOOKUP(O78,Notenspiegel!$A$17:$B$117,2,0)</f>
        <v>5</v>
      </c>
    </row>
    <row r="79" ht="14.25" customHeight="1">
      <c r="O79" s="8">
        <f t="shared" si="1"/>
        <v>0</v>
      </c>
      <c r="P79" s="9">
        <f>VLOOKUP(O79,Notenspiegel!$A$17:$B$117,2,0)</f>
        <v>5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7" right="0.7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14"/>
    <col customWidth="1" min="5" max="7" width="10.71"/>
    <col customWidth="1" min="8" max="26" width="8.71"/>
  </cols>
  <sheetData>
    <row r="1" ht="14.25" customHeight="1">
      <c r="A1" s="1" t="s">
        <v>25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</row>
    <row r="2" ht="14.25" customHeight="1">
      <c r="G2" s="8">
        <f t="shared" ref="G2:G80" si="1">(E2+(F2*2))/3</f>
        <v>0</v>
      </c>
    </row>
    <row r="3" ht="14.25" customHeight="1">
      <c r="G3" s="8">
        <f t="shared" si="1"/>
        <v>0</v>
      </c>
    </row>
    <row r="4" ht="14.25" customHeight="1">
      <c r="G4" s="8">
        <f t="shared" si="1"/>
        <v>0</v>
      </c>
    </row>
    <row r="5" ht="14.25" customHeight="1">
      <c r="G5" s="8">
        <f t="shared" si="1"/>
        <v>0</v>
      </c>
    </row>
    <row r="6" ht="14.25" customHeight="1">
      <c r="G6" s="8">
        <f t="shared" si="1"/>
        <v>0</v>
      </c>
    </row>
    <row r="7" ht="14.25" customHeight="1">
      <c r="G7" s="8">
        <f t="shared" si="1"/>
        <v>0</v>
      </c>
    </row>
    <row r="8" ht="14.25" customHeight="1">
      <c r="G8" s="8">
        <f t="shared" si="1"/>
        <v>0</v>
      </c>
    </row>
    <row r="9" ht="14.25" customHeight="1">
      <c r="G9" s="8">
        <f t="shared" si="1"/>
        <v>0</v>
      </c>
    </row>
    <row r="10" ht="14.25" customHeight="1">
      <c r="G10" s="8">
        <f t="shared" si="1"/>
        <v>0</v>
      </c>
    </row>
    <row r="11" ht="14.25" customHeight="1">
      <c r="G11" s="8">
        <f t="shared" si="1"/>
        <v>0</v>
      </c>
    </row>
    <row r="12" ht="14.25" customHeight="1">
      <c r="G12" s="8">
        <f t="shared" si="1"/>
        <v>0</v>
      </c>
    </row>
    <row r="13" ht="14.25" customHeight="1">
      <c r="G13" s="8">
        <f t="shared" si="1"/>
        <v>0</v>
      </c>
    </row>
    <row r="14" ht="14.25" customHeight="1">
      <c r="G14" s="8">
        <f t="shared" si="1"/>
        <v>0</v>
      </c>
    </row>
    <row r="15" ht="14.25" customHeight="1">
      <c r="G15" s="8">
        <f t="shared" si="1"/>
        <v>0</v>
      </c>
    </row>
    <row r="16" ht="14.25" customHeight="1">
      <c r="G16" s="8">
        <f t="shared" si="1"/>
        <v>0</v>
      </c>
    </row>
    <row r="17" ht="14.25" customHeight="1">
      <c r="G17" s="8">
        <f t="shared" si="1"/>
        <v>0</v>
      </c>
    </row>
    <row r="18" ht="14.25" customHeight="1">
      <c r="G18" s="8">
        <f t="shared" si="1"/>
        <v>0</v>
      </c>
    </row>
    <row r="19" ht="14.25" customHeight="1">
      <c r="G19" s="8">
        <f t="shared" si="1"/>
        <v>0</v>
      </c>
    </row>
    <row r="20" ht="14.25" customHeight="1">
      <c r="G20" s="8">
        <f t="shared" si="1"/>
        <v>0</v>
      </c>
    </row>
    <row r="21" ht="14.25" customHeight="1">
      <c r="G21" s="8">
        <f t="shared" si="1"/>
        <v>0</v>
      </c>
    </row>
    <row r="22" ht="14.25" customHeight="1">
      <c r="G22" s="8">
        <f t="shared" si="1"/>
        <v>0</v>
      </c>
    </row>
    <row r="23" ht="14.25" customHeight="1">
      <c r="G23" s="8">
        <f t="shared" si="1"/>
        <v>0</v>
      </c>
    </row>
    <row r="24" ht="14.25" customHeight="1">
      <c r="G24" s="8">
        <f t="shared" si="1"/>
        <v>0</v>
      </c>
    </row>
    <row r="25" ht="14.25" customHeight="1">
      <c r="G25" s="8">
        <f t="shared" si="1"/>
        <v>0</v>
      </c>
    </row>
    <row r="26" ht="14.25" customHeight="1">
      <c r="G26" s="8">
        <f t="shared" si="1"/>
        <v>0</v>
      </c>
    </row>
    <row r="27" ht="14.25" customHeight="1">
      <c r="G27" s="8">
        <f t="shared" si="1"/>
        <v>0</v>
      </c>
    </row>
    <row r="28" ht="14.25" customHeight="1">
      <c r="G28" s="8">
        <f t="shared" si="1"/>
        <v>0</v>
      </c>
    </row>
    <row r="29" ht="14.25" customHeight="1">
      <c r="G29" s="8">
        <f t="shared" si="1"/>
        <v>0</v>
      </c>
    </row>
    <row r="30" ht="14.25" customHeight="1">
      <c r="G30" s="8">
        <f t="shared" si="1"/>
        <v>0</v>
      </c>
    </row>
    <row r="31" ht="14.25" customHeight="1">
      <c r="G31" s="8">
        <f t="shared" si="1"/>
        <v>0</v>
      </c>
    </row>
    <row r="32" ht="14.25" customHeight="1">
      <c r="G32" s="8">
        <f t="shared" si="1"/>
        <v>0</v>
      </c>
    </row>
    <row r="33" ht="14.25" customHeight="1">
      <c r="G33" s="8">
        <f t="shared" si="1"/>
        <v>0</v>
      </c>
    </row>
    <row r="34" ht="14.25" customHeight="1">
      <c r="G34" s="8">
        <f t="shared" si="1"/>
        <v>0</v>
      </c>
    </row>
    <row r="35" ht="14.25" customHeight="1">
      <c r="G35" s="8">
        <f t="shared" si="1"/>
        <v>0</v>
      </c>
    </row>
    <row r="36" ht="14.25" customHeight="1">
      <c r="G36" s="8">
        <f t="shared" si="1"/>
        <v>0</v>
      </c>
    </row>
    <row r="37" ht="14.25" customHeight="1">
      <c r="G37" s="8">
        <f t="shared" si="1"/>
        <v>0</v>
      </c>
    </row>
    <row r="38" ht="14.25" customHeight="1">
      <c r="G38" s="8">
        <f t="shared" si="1"/>
        <v>0</v>
      </c>
    </row>
    <row r="39" ht="14.25" customHeight="1">
      <c r="G39" s="8">
        <f t="shared" si="1"/>
        <v>0</v>
      </c>
    </row>
    <row r="40" ht="14.25" customHeight="1">
      <c r="G40" s="8">
        <f t="shared" si="1"/>
        <v>0</v>
      </c>
    </row>
    <row r="41" ht="14.25" customHeight="1">
      <c r="G41" s="8">
        <f t="shared" si="1"/>
        <v>0</v>
      </c>
    </row>
    <row r="42" ht="14.25" customHeight="1">
      <c r="G42" s="8">
        <f t="shared" si="1"/>
        <v>0</v>
      </c>
    </row>
    <row r="43" ht="14.25" customHeight="1">
      <c r="G43" s="8">
        <f t="shared" si="1"/>
        <v>0</v>
      </c>
    </row>
    <row r="44" ht="14.25" customHeight="1">
      <c r="G44" s="8">
        <f t="shared" si="1"/>
        <v>0</v>
      </c>
    </row>
    <row r="45" ht="14.25" customHeight="1">
      <c r="G45" s="8">
        <f t="shared" si="1"/>
        <v>0</v>
      </c>
    </row>
    <row r="46" ht="14.25" customHeight="1">
      <c r="G46" s="8">
        <f t="shared" si="1"/>
        <v>0</v>
      </c>
    </row>
    <row r="47" ht="14.25" customHeight="1">
      <c r="G47" s="8">
        <f t="shared" si="1"/>
        <v>0</v>
      </c>
    </row>
    <row r="48" ht="14.25" customHeight="1">
      <c r="G48" s="8">
        <f t="shared" si="1"/>
        <v>0</v>
      </c>
    </row>
    <row r="49" ht="14.25" customHeight="1">
      <c r="G49" s="8">
        <f t="shared" si="1"/>
        <v>0</v>
      </c>
    </row>
    <row r="50" ht="14.25" customHeight="1">
      <c r="G50" s="8">
        <f t="shared" si="1"/>
        <v>0</v>
      </c>
    </row>
    <row r="51" ht="14.25" customHeight="1">
      <c r="G51" s="8">
        <f t="shared" si="1"/>
        <v>0</v>
      </c>
    </row>
    <row r="52" ht="14.25" customHeight="1">
      <c r="G52" s="8">
        <f t="shared" si="1"/>
        <v>0</v>
      </c>
    </row>
    <row r="53" ht="14.25" customHeight="1">
      <c r="G53" s="8">
        <f t="shared" si="1"/>
        <v>0</v>
      </c>
    </row>
    <row r="54" ht="14.25" customHeight="1">
      <c r="G54" s="8">
        <f t="shared" si="1"/>
        <v>0</v>
      </c>
    </row>
    <row r="55" ht="14.25" customHeight="1">
      <c r="G55" s="8">
        <f t="shared" si="1"/>
        <v>0</v>
      </c>
    </row>
    <row r="56" ht="14.25" customHeight="1">
      <c r="G56" s="8">
        <f t="shared" si="1"/>
        <v>0</v>
      </c>
    </row>
    <row r="57" ht="14.25" customHeight="1">
      <c r="G57" s="8">
        <f t="shared" si="1"/>
        <v>0</v>
      </c>
    </row>
    <row r="58" ht="14.25" customHeight="1">
      <c r="G58" s="8">
        <f t="shared" si="1"/>
        <v>0</v>
      </c>
    </row>
    <row r="59" ht="14.25" customHeight="1">
      <c r="G59" s="8">
        <f t="shared" si="1"/>
        <v>0</v>
      </c>
    </row>
    <row r="60" ht="14.25" customHeight="1">
      <c r="G60" s="8">
        <f t="shared" si="1"/>
        <v>0</v>
      </c>
    </row>
    <row r="61" ht="14.25" customHeight="1">
      <c r="G61" s="8">
        <f t="shared" si="1"/>
        <v>0</v>
      </c>
    </row>
    <row r="62" ht="14.25" customHeight="1">
      <c r="G62" s="8">
        <f t="shared" si="1"/>
        <v>0</v>
      </c>
    </row>
    <row r="63" ht="14.25" customHeight="1">
      <c r="G63" s="8">
        <f t="shared" si="1"/>
        <v>0</v>
      </c>
    </row>
    <row r="64" ht="14.25" customHeight="1">
      <c r="G64" s="8">
        <f t="shared" si="1"/>
        <v>0</v>
      </c>
    </row>
    <row r="65" ht="14.25" customHeight="1">
      <c r="G65" s="8">
        <f t="shared" si="1"/>
        <v>0</v>
      </c>
    </row>
    <row r="66" ht="14.25" customHeight="1">
      <c r="G66" s="8">
        <f t="shared" si="1"/>
        <v>0</v>
      </c>
    </row>
    <row r="67" ht="14.25" customHeight="1">
      <c r="G67" s="8">
        <f t="shared" si="1"/>
        <v>0</v>
      </c>
    </row>
    <row r="68" ht="14.25" customHeight="1">
      <c r="G68" s="8">
        <f t="shared" si="1"/>
        <v>0</v>
      </c>
    </row>
    <row r="69" ht="14.25" customHeight="1">
      <c r="G69" s="8">
        <f t="shared" si="1"/>
        <v>0</v>
      </c>
    </row>
    <row r="70" ht="14.25" customHeight="1">
      <c r="G70" s="8">
        <f t="shared" si="1"/>
        <v>0</v>
      </c>
    </row>
    <row r="71" ht="14.25" customHeight="1">
      <c r="G71" s="8">
        <f t="shared" si="1"/>
        <v>0</v>
      </c>
    </row>
    <row r="72" ht="14.25" customHeight="1">
      <c r="G72" s="8">
        <f t="shared" si="1"/>
        <v>0</v>
      </c>
    </row>
    <row r="73" ht="14.25" customHeight="1">
      <c r="G73" s="8">
        <f t="shared" si="1"/>
        <v>0</v>
      </c>
    </row>
    <row r="74" ht="14.25" customHeight="1">
      <c r="G74" s="8">
        <f t="shared" si="1"/>
        <v>0</v>
      </c>
    </row>
    <row r="75" ht="14.25" customHeight="1">
      <c r="G75" s="8">
        <f t="shared" si="1"/>
        <v>0</v>
      </c>
    </row>
    <row r="76" ht="14.25" customHeight="1">
      <c r="G76" s="8">
        <f t="shared" si="1"/>
        <v>0</v>
      </c>
    </row>
    <row r="77" ht="14.25" customHeight="1">
      <c r="G77" s="8">
        <f t="shared" si="1"/>
        <v>0</v>
      </c>
    </row>
    <row r="78" ht="14.25" customHeight="1">
      <c r="G78" s="8">
        <f t="shared" si="1"/>
        <v>0</v>
      </c>
    </row>
    <row r="79" ht="14.25" customHeight="1">
      <c r="G79" s="8">
        <f t="shared" si="1"/>
        <v>0</v>
      </c>
    </row>
    <row r="80" ht="14.25" customHeight="1">
      <c r="G80" s="8">
        <f t="shared" si="1"/>
        <v>0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7" right="0.7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26" width="8.71"/>
  </cols>
  <sheetData>
    <row r="1" ht="14.25" customHeight="1">
      <c r="A1" s="10" t="s">
        <v>39</v>
      </c>
      <c r="B1" s="11"/>
      <c r="C1" s="11"/>
      <c r="D1" s="10" t="s">
        <v>38</v>
      </c>
      <c r="E1" s="11"/>
      <c r="F1" s="11"/>
      <c r="G1" s="11"/>
      <c r="H1" s="11" t="s">
        <v>39</v>
      </c>
      <c r="I1" s="11"/>
      <c r="J1" s="11"/>
    </row>
    <row r="2" ht="14.2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 ht="14.25" customHeight="1">
      <c r="A3" s="1" t="s">
        <v>36</v>
      </c>
      <c r="B3" s="1" t="s">
        <v>37</v>
      </c>
      <c r="C3" s="11"/>
      <c r="D3" s="1" t="s">
        <v>36</v>
      </c>
      <c r="E3" s="1" t="s">
        <v>37</v>
      </c>
      <c r="F3" s="11"/>
      <c r="G3" s="11"/>
      <c r="H3" s="11" t="s">
        <v>41</v>
      </c>
      <c r="I3" s="11" t="s">
        <v>42</v>
      </c>
      <c r="J3" s="11" t="s">
        <v>37</v>
      </c>
    </row>
    <row r="4" ht="14.25" customHeight="1">
      <c r="A4" s="12" t="s">
        <v>43</v>
      </c>
      <c r="B4" s="9">
        <v>1.0</v>
      </c>
      <c r="C4" s="11"/>
      <c r="D4" s="13" t="s">
        <v>44</v>
      </c>
      <c r="E4" s="9">
        <v>1.0</v>
      </c>
      <c r="F4" s="11"/>
      <c r="G4" s="11"/>
      <c r="H4" s="11">
        <v>96.0</v>
      </c>
      <c r="I4" s="14">
        <v>100.0</v>
      </c>
      <c r="J4" s="9">
        <v>1.0</v>
      </c>
    </row>
    <row r="5" ht="14.25" customHeight="1">
      <c r="A5" s="12" t="s">
        <v>45</v>
      </c>
      <c r="B5" s="9">
        <v>1.3</v>
      </c>
      <c r="C5" s="11"/>
      <c r="D5" s="13" t="s">
        <v>46</v>
      </c>
      <c r="E5" s="9">
        <v>1.3</v>
      </c>
      <c r="F5" s="11"/>
      <c r="G5" s="11"/>
      <c r="H5" s="11">
        <v>91.0</v>
      </c>
      <c r="I5" s="14">
        <v>95.0</v>
      </c>
      <c r="J5" s="9">
        <v>1.3</v>
      </c>
    </row>
    <row r="6" ht="14.25" customHeight="1">
      <c r="A6" s="12" t="s">
        <v>47</v>
      </c>
      <c r="B6" s="9">
        <v>1.7</v>
      </c>
      <c r="C6" s="11"/>
      <c r="D6" s="13" t="s">
        <v>48</v>
      </c>
      <c r="E6" s="9">
        <v>1.7</v>
      </c>
      <c r="F6" s="11"/>
      <c r="G6" s="11"/>
      <c r="H6" s="11">
        <v>85.0</v>
      </c>
      <c r="I6" s="14">
        <v>90.0</v>
      </c>
      <c r="J6" s="9">
        <v>1.7</v>
      </c>
    </row>
    <row r="7" ht="14.25" customHeight="1">
      <c r="A7" s="12" t="s">
        <v>49</v>
      </c>
      <c r="B7" s="9">
        <v>2.0</v>
      </c>
      <c r="C7" s="11"/>
      <c r="D7" s="15">
        <v>24.0</v>
      </c>
      <c r="E7" s="9">
        <v>2.0</v>
      </c>
      <c r="F7" s="11"/>
      <c r="G7" s="11"/>
      <c r="H7" s="11">
        <v>80.0</v>
      </c>
      <c r="I7" s="14">
        <v>84.0</v>
      </c>
      <c r="J7" s="9">
        <v>2.0</v>
      </c>
    </row>
    <row r="8" ht="14.25" customHeight="1">
      <c r="A8" s="12" t="s">
        <v>50</v>
      </c>
      <c r="B8" s="9">
        <v>2.3</v>
      </c>
      <c r="C8" s="11"/>
      <c r="D8" s="15">
        <v>23.0</v>
      </c>
      <c r="E8" s="9">
        <v>2.3</v>
      </c>
      <c r="F8" s="11"/>
      <c r="G8" s="11"/>
      <c r="H8" s="11">
        <v>75.0</v>
      </c>
      <c r="I8" s="14">
        <v>79.0</v>
      </c>
      <c r="J8" s="9">
        <v>2.3</v>
      </c>
    </row>
    <row r="9" ht="14.25" customHeight="1">
      <c r="A9" s="12" t="s">
        <v>51</v>
      </c>
      <c r="B9" s="9">
        <v>2.7</v>
      </c>
      <c r="C9" s="11"/>
      <c r="D9" s="13" t="s">
        <v>52</v>
      </c>
      <c r="E9" s="9">
        <v>2.7</v>
      </c>
      <c r="F9" s="11"/>
      <c r="G9" s="11"/>
      <c r="H9" s="11">
        <v>70.0</v>
      </c>
      <c r="I9" s="14">
        <v>74.0</v>
      </c>
      <c r="J9" s="9">
        <v>2.7</v>
      </c>
    </row>
    <row r="10" ht="14.25" customHeight="1">
      <c r="A10" s="12" t="s">
        <v>53</v>
      </c>
      <c r="B10" s="9">
        <v>3.0</v>
      </c>
      <c r="C10" s="11"/>
      <c r="D10" s="15">
        <v>20.0</v>
      </c>
      <c r="E10" s="9">
        <v>3.0</v>
      </c>
      <c r="F10" s="11"/>
      <c r="G10" s="11"/>
      <c r="H10" s="11">
        <v>65.0</v>
      </c>
      <c r="I10" s="14">
        <v>69.0</v>
      </c>
      <c r="J10" s="9">
        <v>3.0</v>
      </c>
    </row>
    <row r="11" ht="14.25" customHeight="1">
      <c r="A11" s="12" t="s">
        <v>54</v>
      </c>
      <c r="B11" s="9">
        <v>3.3</v>
      </c>
      <c r="C11" s="11"/>
      <c r="D11" s="13" t="s">
        <v>55</v>
      </c>
      <c r="E11" s="9">
        <v>3.3</v>
      </c>
      <c r="F11" s="11"/>
      <c r="G11" s="11"/>
      <c r="H11" s="11">
        <v>60.0</v>
      </c>
      <c r="I11" s="14">
        <v>64.0</v>
      </c>
      <c r="J11" s="9">
        <v>3.3</v>
      </c>
    </row>
    <row r="12" ht="14.25" customHeight="1">
      <c r="A12" s="12" t="s">
        <v>56</v>
      </c>
      <c r="B12" s="9">
        <v>3.7</v>
      </c>
      <c r="C12" s="11"/>
      <c r="D12" s="15">
        <v>17.0</v>
      </c>
      <c r="E12" s="9">
        <v>3.7</v>
      </c>
      <c r="F12" s="11"/>
      <c r="G12" s="11"/>
      <c r="H12" s="11">
        <v>55.0</v>
      </c>
      <c r="I12" s="14">
        <v>59.0</v>
      </c>
      <c r="J12" s="9">
        <v>3.7</v>
      </c>
    </row>
    <row r="13" ht="14.25" customHeight="1">
      <c r="A13" s="12" t="s">
        <v>57</v>
      </c>
      <c r="B13" s="9">
        <v>4.0</v>
      </c>
      <c r="C13" s="11"/>
      <c r="D13" s="13" t="s">
        <v>58</v>
      </c>
      <c r="E13" s="9">
        <v>4.0</v>
      </c>
      <c r="F13" s="11"/>
      <c r="G13" s="11"/>
      <c r="H13" s="11">
        <v>50.0</v>
      </c>
      <c r="I13" s="14">
        <v>54.0</v>
      </c>
      <c r="J13" s="9">
        <v>4.0</v>
      </c>
    </row>
    <row r="14" ht="14.25" customHeight="1">
      <c r="A14" s="12" t="s">
        <v>59</v>
      </c>
      <c r="B14" s="9">
        <v>4.7</v>
      </c>
      <c r="C14" s="11"/>
      <c r="D14" s="16" t="s">
        <v>60</v>
      </c>
      <c r="E14" s="9">
        <v>4.7</v>
      </c>
      <c r="F14" s="11"/>
      <c r="G14" s="11"/>
      <c r="H14" s="11">
        <v>15.0</v>
      </c>
      <c r="I14" s="14">
        <v>49.0</v>
      </c>
      <c r="J14" s="9">
        <v>4.7</v>
      </c>
    </row>
    <row r="15" ht="14.25" customHeight="1">
      <c r="A15" s="12" t="s">
        <v>61</v>
      </c>
      <c r="B15" s="9">
        <v>5.0</v>
      </c>
      <c r="C15" s="11"/>
      <c r="D15" s="16" t="s">
        <v>62</v>
      </c>
      <c r="E15" s="9">
        <v>5.0</v>
      </c>
      <c r="F15" s="11"/>
      <c r="G15" s="11"/>
      <c r="H15" s="11">
        <v>0.0</v>
      </c>
      <c r="I15" s="14">
        <v>14.0</v>
      </c>
      <c r="J15" s="9">
        <v>5.0</v>
      </c>
    </row>
    <row r="16" ht="14.25" customHeight="1">
      <c r="A16" s="12"/>
      <c r="B16" s="11"/>
      <c r="C16" s="11"/>
      <c r="D16" s="11"/>
      <c r="E16" s="11"/>
      <c r="F16" s="11"/>
      <c r="G16" s="11"/>
      <c r="H16" s="11"/>
      <c r="I16" s="11"/>
      <c r="J16" s="11"/>
    </row>
    <row r="17" ht="14.25" customHeight="1">
      <c r="A17" s="11">
        <v>100.0</v>
      </c>
      <c r="B17" s="9">
        <v>1.0</v>
      </c>
      <c r="C17" s="11"/>
      <c r="D17" s="11">
        <v>30.0</v>
      </c>
      <c r="E17" s="9">
        <v>1.0</v>
      </c>
      <c r="F17" s="11"/>
      <c r="G17" s="11"/>
      <c r="H17" s="11"/>
      <c r="I17" s="11"/>
      <c r="J17" s="11"/>
    </row>
    <row r="18" ht="14.25" customHeight="1">
      <c r="A18" s="11">
        <v>99.0</v>
      </c>
      <c r="B18" s="9">
        <v>1.0</v>
      </c>
      <c r="C18" s="11"/>
      <c r="D18" s="11">
        <v>29.0</v>
      </c>
      <c r="E18" s="9">
        <v>1.0</v>
      </c>
      <c r="F18" s="11"/>
      <c r="G18" s="11"/>
      <c r="H18" s="11"/>
      <c r="I18" s="11"/>
      <c r="J18" s="11"/>
    </row>
    <row r="19" ht="14.25" customHeight="1">
      <c r="A19" s="11">
        <v>98.0</v>
      </c>
      <c r="B19" s="9">
        <v>1.0</v>
      </c>
      <c r="C19" s="11"/>
      <c r="D19" s="11">
        <v>28.0</v>
      </c>
      <c r="E19" s="9">
        <v>1.3</v>
      </c>
      <c r="F19" s="11"/>
      <c r="G19" s="11"/>
      <c r="H19" s="11"/>
      <c r="I19" s="11"/>
      <c r="J19" s="11"/>
    </row>
    <row r="20" ht="14.25" customHeight="1">
      <c r="A20" s="11">
        <v>97.0</v>
      </c>
      <c r="B20" s="9">
        <v>1.0</v>
      </c>
      <c r="C20" s="11"/>
      <c r="D20" s="11">
        <v>27.0</v>
      </c>
      <c r="E20" s="9">
        <v>1.3</v>
      </c>
      <c r="F20" s="11"/>
      <c r="G20" s="11"/>
      <c r="H20" s="11"/>
      <c r="I20" s="11"/>
      <c r="J20" s="11"/>
    </row>
    <row r="21" ht="14.25" customHeight="1">
      <c r="A21" s="11">
        <v>96.0</v>
      </c>
      <c r="B21" s="9">
        <v>1.0</v>
      </c>
      <c r="C21" s="11"/>
      <c r="D21" s="11">
        <v>26.0</v>
      </c>
      <c r="E21" s="9">
        <v>1.7</v>
      </c>
      <c r="F21" s="11"/>
      <c r="G21" s="11"/>
      <c r="H21" s="11"/>
      <c r="I21" s="11"/>
      <c r="J21" s="11"/>
    </row>
    <row r="22" ht="14.25" customHeight="1">
      <c r="A22" s="11">
        <v>95.0</v>
      </c>
      <c r="B22" s="11">
        <v>1.3</v>
      </c>
      <c r="C22" s="11"/>
      <c r="D22" s="11">
        <v>25.0</v>
      </c>
      <c r="E22" s="9">
        <v>1.7</v>
      </c>
      <c r="F22" s="11"/>
      <c r="G22" s="11"/>
      <c r="H22" s="11"/>
      <c r="I22" s="11"/>
      <c r="J22" s="11"/>
    </row>
    <row r="23" ht="14.25" customHeight="1">
      <c r="A23" s="11">
        <v>94.0</v>
      </c>
      <c r="B23" s="11">
        <v>1.3</v>
      </c>
      <c r="C23" s="11"/>
      <c r="D23" s="11">
        <v>24.0</v>
      </c>
      <c r="E23" s="9">
        <v>2.0</v>
      </c>
      <c r="F23" s="11"/>
      <c r="G23" s="11"/>
      <c r="H23" s="11"/>
      <c r="I23" s="11"/>
      <c r="J23" s="11"/>
    </row>
    <row r="24" ht="14.25" customHeight="1">
      <c r="A24" s="11">
        <v>93.0</v>
      </c>
      <c r="B24" s="11">
        <v>1.3</v>
      </c>
      <c r="C24" s="11"/>
      <c r="D24" s="11">
        <v>23.0</v>
      </c>
      <c r="E24" s="9">
        <v>2.3</v>
      </c>
      <c r="F24" s="11"/>
      <c r="G24" s="11"/>
      <c r="H24" s="11"/>
      <c r="I24" s="11"/>
      <c r="J24" s="11"/>
    </row>
    <row r="25" ht="14.25" customHeight="1">
      <c r="A25" s="11">
        <v>92.0</v>
      </c>
      <c r="B25" s="11">
        <v>1.3</v>
      </c>
      <c r="C25" s="11"/>
      <c r="D25" s="11">
        <v>22.0</v>
      </c>
      <c r="E25" s="9">
        <v>2.7</v>
      </c>
      <c r="F25" s="11"/>
      <c r="G25" s="11"/>
      <c r="H25" s="11"/>
      <c r="I25" s="11"/>
      <c r="J25" s="11"/>
    </row>
    <row r="26" ht="14.25" customHeight="1">
      <c r="A26" s="11">
        <v>91.0</v>
      </c>
      <c r="B26" s="11">
        <v>1.3</v>
      </c>
      <c r="C26" s="11"/>
      <c r="D26" s="11">
        <v>21.0</v>
      </c>
      <c r="E26" s="9">
        <v>2.7</v>
      </c>
      <c r="F26" s="11"/>
      <c r="G26" s="11"/>
      <c r="H26" s="11"/>
      <c r="I26" s="11"/>
      <c r="J26" s="11"/>
    </row>
    <row r="27" ht="14.25" customHeight="1">
      <c r="A27" s="11">
        <v>90.0</v>
      </c>
      <c r="B27" s="11">
        <v>1.7</v>
      </c>
      <c r="C27" s="11"/>
      <c r="D27" s="11">
        <v>20.0</v>
      </c>
      <c r="E27" s="9">
        <v>3.0</v>
      </c>
      <c r="F27" s="11"/>
      <c r="G27" s="11"/>
      <c r="H27" s="11"/>
      <c r="I27" s="11"/>
      <c r="J27" s="11"/>
    </row>
    <row r="28" ht="14.25" customHeight="1">
      <c r="A28" s="11">
        <v>89.0</v>
      </c>
      <c r="B28" s="11">
        <v>1.7</v>
      </c>
      <c r="C28" s="11"/>
      <c r="D28" s="11">
        <v>19.0</v>
      </c>
      <c r="E28" s="9">
        <v>3.3</v>
      </c>
      <c r="F28" s="11"/>
      <c r="G28" s="11"/>
      <c r="H28" s="11"/>
      <c r="I28" s="11"/>
      <c r="J28" s="11"/>
    </row>
    <row r="29" ht="14.25" customHeight="1">
      <c r="A29" s="11">
        <v>88.0</v>
      </c>
      <c r="B29" s="11">
        <v>1.7</v>
      </c>
      <c r="C29" s="11"/>
      <c r="D29" s="11">
        <v>18.0</v>
      </c>
      <c r="E29" s="9">
        <v>3.3</v>
      </c>
      <c r="F29" s="11"/>
      <c r="G29" s="11"/>
      <c r="H29" s="11"/>
      <c r="I29" s="11"/>
      <c r="J29" s="11"/>
    </row>
    <row r="30" ht="14.25" customHeight="1">
      <c r="A30" s="11">
        <v>87.0</v>
      </c>
      <c r="B30" s="11">
        <v>1.7</v>
      </c>
      <c r="C30" s="11"/>
      <c r="D30" s="11">
        <v>17.0</v>
      </c>
      <c r="E30" s="9">
        <v>3.7</v>
      </c>
      <c r="F30" s="11"/>
      <c r="G30" s="11"/>
      <c r="H30" s="11"/>
      <c r="I30" s="11"/>
      <c r="J30" s="11"/>
    </row>
    <row r="31" ht="14.25" customHeight="1">
      <c r="A31" s="11">
        <v>86.0</v>
      </c>
      <c r="B31" s="11">
        <v>1.7</v>
      </c>
      <c r="C31" s="11"/>
      <c r="D31" s="11">
        <v>16.0</v>
      </c>
      <c r="E31" s="9">
        <v>4.0</v>
      </c>
      <c r="F31" s="11"/>
      <c r="G31" s="11"/>
      <c r="H31" s="11"/>
      <c r="I31" s="11"/>
      <c r="J31" s="11"/>
    </row>
    <row r="32" ht="14.25" customHeight="1">
      <c r="A32" s="11">
        <v>85.0</v>
      </c>
      <c r="B32" s="11">
        <v>1.7</v>
      </c>
      <c r="C32" s="11"/>
      <c r="D32" s="11">
        <v>15.0</v>
      </c>
      <c r="E32" s="9">
        <v>4.0</v>
      </c>
      <c r="F32" s="11"/>
      <c r="G32" s="11"/>
      <c r="H32" s="11"/>
      <c r="I32" s="11"/>
      <c r="J32" s="11"/>
    </row>
    <row r="33" ht="14.25" customHeight="1">
      <c r="A33" s="11">
        <v>84.0</v>
      </c>
      <c r="B33" s="11">
        <v>2.0</v>
      </c>
      <c r="C33" s="11"/>
      <c r="D33" s="11">
        <v>14.0</v>
      </c>
      <c r="E33" s="9">
        <v>4.7</v>
      </c>
      <c r="F33" s="11"/>
      <c r="G33" s="11"/>
      <c r="H33" s="11"/>
      <c r="I33" s="11"/>
      <c r="J33" s="11"/>
    </row>
    <row r="34" ht="14.25" customHeight="1">
      <c r="A34" s="11">
        <v>83.0</v>
      </c>
      <c r="B34" s="11">
        <v>2.0</v>
      </c>
      <c r="C34" s="11"/>
      <c r="D34" s="11">
        <v>13.0</v>
      </c>
      <c r="E34" s="9">
        <v>4.7</v>
      </c>
      <c r="F34" s="11"/>
      <c r="G34" s="11"/>
      <c r="H34" s="11"/>
      <c r="I34" s="11"/>
      <c r="J34" s="11"/>
    </row>
    <row r="35" ht="14.25" customHeight="1">
      <c r="A35" s="11">
        <v>82.0</v>
      </c>
      <c r="B35" s="11">
        <v>2.0</v>
      </c>
      <c r="C35" s="11"/>
      <c r="D35" s="11">
        <v>12.0</v>
      </c>
      <c r="E35" s="9">
        <v>4.7</v>
      </c>
      <c r="F35" s="11"/>
      <c r="G35" s="11"/>
      <c r="H35" s="11"/>
      <c r="I35" s="11"/>
      <c r="J35" s="11"/>
    </row>
    <row r="36" ht="14.25" customHeight="1">
      <c r="A36" s="11">
        <v>81.0</v>
      </c>
      <c r="B36" s="11">
        <v>2.0</v>
      </c>
      <c r="C36" s="11"/>
      <c r="D36" s="11">
        <v>11.0</v>
      </c>
      <c r="E36" s="9">
        <v>4.7</v>
      </c>
      <c r="F36" s="11"/>
      <c r="G36" s="11"/>
      <c r="H36" s="11"/>
      <c r="I36" s="11"/>
      <c r="J36" s="11"/>
    </row>
    <row r="37" ht="14.25" customHeight="1">
      <c r="A37" s="11">
        <v>80.0</v>
      </c>
      <c r="B37" s="11">
        <v>2.0</v>
      </c>
      <c r="C37" s="11"/>
      <c r="D37" s="11">
        <v>10.0</v>
      </c>
      <c r="E37" s="9">
        <v>4.7</v>
      </c>
      <c r="F37" s="11"/>
      <c r="G37" s="11"/>
      <c r="H37" s="11"/>
      <c r="I37" s="11"/>
      <c r="J37" s="11"/>
    </row>
    <row r="38" ht="14.25" customHeight="1">
      <c r="A38" s="11">
        <v>79.0</v>
      </c>
      <c r="B38" s="11">
        <v>2.3</v>
      </c>
      <c r="C38" s="11"/>
      <c r="D38" s="11">
        <v>9.0</v>
      </c>
      <c r="E38" s="9">
        <v>4.7</v>
      </c>
      <c r="F38" s="11"/>
      <c r="G38" s="11"/>
      <c r="H38" s="11"/>
      <c r="I38" s="11"/>
      <c r="J38" s="11"/>
    </row>
    <row r="39" ht="14.25" customHeight="1">
      <c r="A39" s="11">
        <v>78.0</v>
      </c>
      <c r="B39" s="11">
        <v>2.3</v>
      </c>
      <c r="C39" s="11"/>
      <c r="D39" s="11">
        <v>8.0</v>
      </c>
      <c r="E39" s="9">
        <v>4.7</v>
      </c>
      <c r="F39" s="11"/>
      <c r="G39" s="11"/>
      <c r="H39" s="11"/>
      <c r="I39" s="11"/>
      <c r="J39" s="11"/>
    </row>
    <row r="40" ht="14.25" customHeight="1">
      <c r="A40" s="11">
        <v>77.0</v>
      </c>
      <c r="B40" s="11">
        <v>2.3</v>
      </c>
      <c r="C40" s="11"/>
      <c r="D40" s="11">
        <v>7.0</v>
      </c>
      <c r="E40" s="9">
        <v>4.7</v>
      </c>
      <c r="F40" s="11"/>
      <c r="G40" s="11"/>
      <c r="H40" s="11"/>
      <c r="I40" s="11"/>
      <c r="J40" s="11"/>
    </row>
    <row r="41" ht="14.25" customHeight="1">
      <c r="A41" s="11">
        <v>76.0</v>
      </c>
      <c r="B41" s="11">
        <v>2.3</v>
      </c>
      <c r="C41" s="11"/>
      <c r="D41" s="11">
        <v>6.0</v>
      </c>
      <c r="E41" s="9">
        <v>4.7</v>
      </c>
      <c r="F41" s="11"/>
      <c r="G41" s="11"/>
      <c r="H41" s="11"/>
      <c r="I41" s="11"/>
      <c r="J41" s="11"/>
    </row>
    <row r="42" ht="14.25" customHeight="1">
      <c r="A42" s="11">
        <v>75.0</v>
      </c>
      <c r="B42" s="11">
        <v>2.3</v>
      </c>
      <c r="C42" s="11"/>
      <c r="D42" s="11">
        <v>5.0</v>
      </c>
      <c r="E42" s="9">
        <v>4.7</v>
      </c>
      <c r="F42" s="11"/>
      <c r="G42" s="11"/>
      <c r="H42" s="11"/>
      <c r="I42" s="11"/>
      <c r="J42" s="11"/>
    </row>
    <row r="43" ht="14.25" customHeight="1">
      <c r="A43" s="11">
        <v>74.0</v>
      </c>
      <c r="B43" s="11">
        <v>2.7</v>
      </c>
      <c r="C43" s="11"/>
      <c r="D43" s="11">
        <v>4.0</v>
      </c>
      <c r="E43" s="9">
        <v>5.0</v>
      </c>
      <c r="F43" s="11"/>
      <c r="G43" s="11"/>
      <c r="H43" s="11"/>
      <c r="I43" s="11"/>
      <c r="J43" s="11"/>
    </row>
    <row r="44" ht="14.25" customHeight="1">
      <c r="A44" s="11">
        <v>73.0</v>
      </c>
      <c r="B44" s="11">
        <v>2.7</v>
      </c>
      <c r="C44" s="11"/>
      <c r="D44" s="11">
        <v>3.0</v>
      </c>
      <c r="E44" s="9">
        <v>5.0</v>
      </c>
      <c r="F44" s="11"/>
      <c r="G44" s="11"/>
      <c r="H44" s="11"/>
      <c r="I44" s="11"/>
      <c r="J44" s="11"/>
    </row>
    <row r="45" ht="14.25" customHeight="1">
      <c r="A45" s="11">
        <v>72.0</v>
      </c>
      <c r="B45" s="11">
        <v>2.7</v>
      </c>
      <c r="C45" s="11"/>
      <c r="D45" s="11">
        <v>2.0</v>
      </c>
      <c r="E45" s="9">
        <v>5.0</v>
      </c>
      <c r="F45" s="11"/>
      <c r="G45" s="11"/>
      <c r="H45" s="11"/>
      <c r="I45" s="11"/>
      <c r="J45" s="11"/>
    </row>
    <row r="46" ht="14.25" customHeight="1">
      <c r="A46" s="11">
        <v>71.0</v>
      </c>
      <c r="B46" s="11">
        <v>2.7</v>
      </c>
      <c r="C46" s="11"/>
      <c r="D46" s="11">
        <v>1.0</v>
      </c>
      <c r="E46" s="9">
        <v>5.0</v>
      </c>
      <c r="F46" s="11"/>
      <c r="G46" s="11"/>
      <c r="H46" s="11"/>
      <c r="I46" s="11"/>
      <c r="J46" s="11"/>
    </row>
    <row r="47" ht="14.25" customHeight="1">
      <c r="A47" s="11">
        <v>70.0</v>
      </c>
      <c r="B47" s="11">
        <v>2.7</v>
      </c>
      <c r="C47" s="11"/>
      <c r="D47" s="11">
        <v>0.0</v>
      </c>
      <c r="E47" s="9">
        <v>5.0</v>
      </c>
      <c r="F47" s="11"/>
      <c r="G47" s="11"/>
      <c r="H47" s="11"/>
      <c r="I47" s="11"/>
      <c r="J47" s="11"/>
    </row>
    <row r="48" ht="14.25" customHeight="1">
      <c r="A48" s="11">
        <v>69.0</v>
      </c>
      <c r="B48" s="11">
        <v>3.0</v>
      </c>
      <c r="C48" s="11"/>
      <c r="D48" s="11"/>
      <c r="E48" s="11"/>
      <c r="F48" s="11"/>
      <c r="G48" s="11"/>
      <c r="H48" s="11"/>
      <c r="I48" s="11"/>
      <c r="J48" s="11"/>
    </row>
    <row r="49" ht="14.25" customHeight="1">
      <c r="A49" s="11">
        <v>68.0</v>
      </c>
      <c r="B49" s="11">
        <v>3.0</v>
      </c>
      <c r="C49" s="11"/>
      <c r="D49" s="11"/>
      <c r="E49" s="11"/>
      <c r="F49" s="11"/>
      <c r="G49" s="11"/>
      <c r="H49" s="11"/>
      <c r="I49" s="11"/>
      <c r="J49" s="11"/>
    </row>
    <row r="50" ht="14.25" customHeight="1">
      <c r="A50" s="11">
        <v>67.0</v>
      </c>
      <c r="B50" s="11">
        <v>3.0</v>
      </c>
      <c r="C50" s="11"/>
      <c r="D50" s="11"/>
      <c r="E50" s="11"/>
      <c r="F50" s="11"/>
      <c r="G50" s="11"/>
      <c r="H50" s="11"/>
      <c r="I50" s="11"/>
      <c r="J50" s="11"/>
    </row>
    <row r="51" ht="14.25" customHeight="1">
      <c r="A51" s="11">
        <v>66.0</v>
      </c>
      <c r="B51" s="11">
        <v>3.0</v>
      </c>
      <c r="C51" s="11"/>
      <c r="D51" s="11"/>
      <c r="E51" s="11"/>
      <c r="F51" s="11"/>
      <c r="G51" s="11"/>
      <c r="H51" s="11"/>
      <c r="I51" s="11"/>
      <c r="J51" s="11"/>
    </row>
    <row r="52" ht="14.25" customHeight="1">
      <c r="A52" s="11">
        <v>65.0</v>
      </c>
      <c r="B52" s="11">
        <v>3.0</v>
      </c>
      <c r="C52" s="11"/>
      <c r="D52" s="11"/>
      <c r="E52" s="11"/>
      <c r="F52" s="11"/>
      <c r="G52" s="11"/>
      <c r="H52" s="11"/>
      <c r="I52" s="11"/>
      <c r="J52" s="11"/>
    </row>
    <row r="53" ht="14.25" customHeight="1">
      <c r="A53" s="11">
        <v>64.0</v>
      </c>
      <c r="B53" s="11">
        <v>3.3</v>
      </c>
      <c r="C53" s="11"/>
      <c r="D53" s="11"/>
      <c r="E53" s="11"/>
      <c r="F53" s="11"/>
      <c r="G53" s="11"/>
      <c r="H53" s="11"/>
      <c r="I53" s="11"/>
      <c r="J53" s="11"/>
    </row>
    <row r="54" ht="14.25" customHeight="1">
      <c r="A54" s="11">
        <v>63.0</v>
      </c>
      <c r="B54" s="11">
        <v>3.3</v>
      </c>
      <c r="C54" s="11"/>
      <c r="D54" s="11"/>
      <c r="E54" s="11"/>
      <c r="F54" s="11"/>
      <c r="G54" s="11"/>
      <c r="H54" s="11"/>
      <c r="I54" s="11"/>
      <c r="J54" s="11"/>
    </row>
    <row r="55" ht="14.25" customHeight="1">
      <c r="A55" s="11">
        <v>62.0</v>
      </c>
      <c r="B55" s="11">
        <v>3.3</v>
      </c>
      <c r="C55" s="11"/>
      <c r="D55" s="11"/>
      <c r="E55" s="11"/>
      <c r="F55" s="11"/>
      <c r="G55" s="11"/>
      <c r="H55" s="11"/>
      <c r="I55" s="11"/>
      <c r="J55" s="11"/>
    </row>
    <row r="56" ht="14.25" customHeight="1">
      <c r="A56" s="11">
        <v>61.0</v>
      </c>
      <c r="B56" s="11">
        <v>3.3</v>
      </c>
      <c r="C56" s="11"/>
      <c r="D56" s="11"/>
      <c r="E56" s="11"/>
      <c r="F56" s="11"/>
      <c r="G56" s="11"/>
      <c r="H56" s="11"/>
      <c r="I56" s="11"/>
      <c r="J56" s="11"/>
    </row>
    <row r="57" ht="14.25" customHeight="1">
      <c r="A57" s="11">
        <v>60.0</v>
      </c>
      <c r="B57" s="11">
        <v>3.3</v>
      </c>
      <c r="C57" s="11"/>
      <c r="D57" s="11"/>
      <c r="E57" s="11"/>
      <c r="F57" s="11"/>
      <c r="G57" s="11"/>
      <c r="H57" s="11"/>
      <c r="I57" s="11"/>
      <c r="J57" s="11"/>
    </row>
    <row r="58" ht="14.25" customHeight="1">
      <c r="A58" s="11">
        <v>59.0</v>
      </c>
      <c r="B58" s="11">
        <v>3.7</v>
      </c>
      <c r="C58" s="11"/>
      <c r="D58" s="11"/>
      <c r="E58" s="11"/>
      <c r="F58" s="11"/>
      <c r="G58" s="11"/>
      <c r="H58" s="11"/>
      <c r="I58" s="11"/>
      <c r="J58" s="11"/>
    </row>
    <row r="59" ht="14.25" customHeight="1">
      <c r="A59" s="11">
        <v>58.0</v>
      </c>
      <c r="B59" s="11">
        <v>3.7</v>
      </c>
      <c r="C59" s="11"/>
      <c r="D59" s="11"/>
      <c r="E59" s="11"/>
      <c r="F59" s="11"/>
      <c r="G59" s="11"/>
      <c r="H59" s="11"/>
      <c r="I59" s="11"/>
      <c r="J59" s="11"/>
    </row>
    <row r="60" ht="14.25" customHeight="1">
      <c r="A60" s="11">
        <v>57.0</v>
      </c>
      <c r="B60" s="11">
        <v>3.7</v>
      </c>
      <c r="C60" s="11"/>
      <c r="D60" s="11"/>
      <c r="E60" s="11"/>
      <c r="F60" s="11"/>
      <c r="G60" s="11"/>
      <c r="H60" s="11"/>
      <c r="I60" s="11"/>
      <c r="J60" s="11"/>
    </row>
    <row r="61" ht="14.25" customHeight="1">
      <c r="A61" s="11">
        <v>56.0</v>
      </c>
      <c r="B61" s="11">
        <v>3.7</v>
      </c>
      <c r="C61" s="11"/>
      <c r="D61" s="11"/>
      <c r="E61" s="11"/>
      <c r="F61" s="11"/>
      <c r="G61" s="11"/>
      <c r="H61" s="11"/>
      <c r="I61" s="11"/>
      <c r="J61" s="11"/>
    </row>
    <row r="62" ht="14.25" customHeight="1">
      <c r="A62" s="11">
        <v>55.0</v>
      </c>
      <c r="B62" s="11">
        <v>3.7</v>
      </c>
      <c r="C62" s="11"/>
      <c r="D62" s="11"/>
      <c r="E62" s="11"/>
      <c r="F62" s="11"/>
      <c r="G62" s="11"/>
      <c r="H62" s="11"/>
      <c r="I62" s="11"/>
      <c r="J62" s="11"/>
    </row>
    <row r="63" ht="14.25" customHeight="1">
      <c r="A63" s="11">
        <v>54.0</v>
      </c>
      <c r="B63" s="11">
        <v>4.0</v>
      </c>
      <c r="C63" s="11"/>
      <c r="D63" s="11"/>
      <c r="E63" s="11"/>
      <c r="F63" s="11"/>
      <c r="G63" s="11"/>
      <c r="H63" s="11"/>
      <c r="I63" s="11"/>
      <c r="J63" s="11"/>
    </row>
    <row r="64" ht="14.25" customHeight="1">
      <c r="A64" s="11">
        <v>53.0</v>
      </c>
      <c r="B64" s="11">
        <v>4.0</v>
      </c>
      <c r="C64" s="11"/>
      <c r="D64" s="11"/>
      <c r="E64" s="11"/>
      <c r="F64" s="11"/>
      <c r="G64" s="11"/>
      <c r="H64" s="11"/>
      <c r="I64" s="11"/>
      <c r="J64" s="11"/>
    </row>
    <row r="65" ht="14.25" customHeight="1">
      <c r="A65" s="11">
        <v>52.0</v>
      </c>
      <c r="B65" s="11">
        <v>4.0</v>
      </c>
      <c r="C65" s="11"/>
      <c r="D65" s="11"/>
      <c r="E65" s="11"/>
      <c r="F65" s="11"/>
      <c r="G65" s="11"/>
      <c r="H65" s="11"/>
      <c r="I65" s="11"/>
      <c r="J65" s="11"/>
    </row>
    <row r="66" ht="14.25" customHeight="1">
      <c r="A66" s="11">
        <v>51.0</v>
      </c>
      <c r="B66" s="11">
        <v>4.0</v>
      </c>
      <c r="C66" s="11"/>
      <c r="D66" s="11"/>
      <c r="E66" s="11"/>
      <c r="F66" s="11"/>
      <c r="G66" s="11"/>
      <c r="H66" s="11"/>
      <c r="I66" s="11"/>
      <c r="J66" s="11"/>
    </row>
    <row r="67" ht="14.25" customHeight="1">
      <c r="A67" s="11">
        <v>50.0</v>
      </c>
      <c r="B67" s="11">
        <v>4.0</v>
      </c>
      <c r="C67" s="11"/>
      <c r="D67" s="11"/>
      <c r="E67" s="11"/>
      <c r="F67" s="11"/>
      <c r="G67" s="11"/>
      <c r="H67" s="11"/>
      <c r="I67" s="11"/>
      <c r="J67" s="11"/>
    </row>
    <row r="68" ht="14.25" customHeight="1">
      <c r="A68" s="11">
        <v>49.0</v>
      </c>
      <c r="B68" s="11">
        <v>4.7</v>
      </c>
      <c r="C68" s="11"/>
      <c r="D68" s="11"/>
      <c r="E68" s="11"/>
      <c r="F68" s="11"/>
      <c r="G68" s="11"/>
      <c r="H68" s="11"/>
      <c r="I68" s="11"/>
      <c r="J68" s="11"/>
    </row>
    <row r="69" ht="14.25" customHeight="1">
      <c r="A69" s="11">
        <v>48.0</v>
      </c>
      <c r="B69" s="11">
        <v>4.7</v>
      </c>
      <c r="C69" s="11"/>
      <c r="D69" s="11"/>
      <c r="E69" s="11"/>
      <c r="F69" s="11"/>
      <c r="G69" s="11"/>
      <c r="H69" s="11"/>
      <c r="I69" s="11"/>
      <c r="J69" s="11"/>
    </row>
    <row r="70" ht="14.25" customHeight="1">
      <c r="A70" s="11">
        <v>47.0</v>
      </c>
      <c r="B70" s="11">
        <v>4.7</v>
      </c>
      <c r="C70" s="11"/>
      <c r="D70" s="11"/>
      <c r="E70" s="11"/>
      <c r="F70" s="11"/>
      <c r="G70" s="11"/>
      <c r="H70" s="11"/>
      <c r="I70" s="11"/>
      <c r="J70" s="11"/>
    </row>
    <row r="71" ht="14.25" customHeight="1">
      <c r="A71" s="11">
        <v>46.0</v>
      </c>
      <c r="B71" s="11">
        <v>4.7</v>
      </c>
      <c r="C71" s="11"/>
      <c r="D71" s="11"/>
      <c r="E71" s="11"/>
      <c r="F71" s="11"/>
      <c r="G71" s="11"/>
      <c r="H71" s="11"/>
      <c r="I71" s="11"/>
      <c r="J71" s="11"/>
    </row>
    <row r="72" ht="14.25" customHeight="1">
      <c r="A72" s="11">
        <v>45.0</v>
      </c>
      <c r="B72" s="11">
        <v>4.7</v>
      </c>
      <c r="C72" s="11"/>
      <c r="D72" s="11"/>
      <c r="E72" s="11"/>
      <c r="F72" s="11"/>
      <c r="G72" s="11"/>
      <c r="H72" s="11"/>
      <c r="I72" s="11"/>
      <c r="J72" s="11"/>
    </row>
    <row r="73" ht="14.25" customHeight="1">
      <c r="A73" s="11">
        <v>44.0</v>
      </c>
      <c r="B73" s="11">
        <v>4.7</v>
      </c>
      <c r="C73" s="11"/>
      <c r="D73" s="11"/>
      <c r="E73" s="11"/>
      <c r="F73" s="11"/>
      <c r="G73" s="11"/>
      <c r="H73" s="11"/>
      <c r="I73" s="11"/>
      <c r="J73" s="11"/>
    </row>
    <row r="74" ht="14.25" customHeight="1">
      <c r="A74" s="11">
        <v>43.0</v>
      </c>
      <c r="B74" s="11">
        <v>4.7</v>
      </c>
      <c r="C74" s="11"/>
      <c r="D74" s="11"/>
      <c r="E74" s="11"/>
      <c r="F74" s="11"/>
      <c r="G74" s="11"/>
      <c r="H74" s="11"/>
      <c r="I74" s="11"/>
      <c r="J74" s="11"/>
    </row>
    <row r="75" ht="14.25" customHeight="1">
      <c r="A75" s="11">
        <v>42.0</v>
      </c>
      <c r="B75" s="11">
        <v>4.7</v>
      </c>
      <c r="C75" s="11"/>
      <c r="D75" s="11"/>
      <c r="E75" s="11"/>
      <c r="F75" s="11"/>
      <c r="G75" s="11"/>
      <c r="H75" s="11"/>
      <c r="I75" s="11"/>
      <c r="J75" s="11"/>
    </row>
    <row r="76" ht="14.25" customHeight="1">
      <c r="A76" s="11">
        <v>41.0</v>
      </c>
      <c r="B76" s="11">
        <v>4.7</v>
      </c>
      <c r="C76" s="11"/>
      <c r="D76" s="11"/>
      <c r="E76" s="11"/>
      <c r="F76" s="11"/>
      <c r="G76" s="11"/>
      <c r="H76" s="11"/>
      <c r="I76" s="11"/>
      <c r="J76" s="11"/>
    </row>
    <row r="77" ht="14.25" customHeight="1">
      <c r="A77" s="11">
        <v>40.0</v>
      </c>
      <c r="B77" s="11">
        <v>4.7</v>
      </c>
      <c r="C77" s="11"/>
      <c r="D77" s="11"/>
      <c r="E77" s="11"/>
      <c r="F77" s="11"/>
      <c r="G77" s="11"/>
      <c r="H77" s="11"/>
      <c r="I77" s="11"/>
      <c r="J77" s="11"/>
    </row>
    <row r="78" ht="14.25" customHeight="1">
      <c r="A78" s="11">
        <v>39.0</v>
      </c>
      <c r="B78" s="11">
        <v>4.7</v>
      </c>
      <c r="C78" s="11"/>
      <c r="D78" s="11"/>
      <c r="E78" s="11"/>
      <c r="F78" s="11"/>
      <c r="G78" s="11"/>
      <c r="H78" s="11"/>
      <c r="I78" s="11"/>
      <c r="J78" s="11"/>
    </row>
    <row r="79" ht="14.25" customHeight="1">
      <c r="A79" s="11">
        <v>38.0</v>
      </c>
      <c r="B79" s="11">
        <v>4.7</v>
      </c>
      <c r="C79" s="11"/>
      <c r="D79" s="11"/>
      <c r="E79" s="11"/>
      <c r="F79" s="11"/>
      <c r="G79" s="11"/>
      <c r="H79" s="11"/>
      <c r="I79" s="11"/>
      <c r="J79" s="11"/>
    </row>
    <row r="80" ht="14.25" customHeight="1">
      <c r="A80" s="11">
        <v>37.0</v>
      </c>
      <c r="B80" s="11">
        <v>4.7</v>
      </c>
      <c r="C80" s="11"/>
      <c r="D80" s="11"/>
      <c r="E80" s="11"/>
      <c r="F80" s="11"/>
      <c r="G80" s="11"/>
      <c r="H80" s="11"/>
      <c r="I80" s="11"/>
      <c r="J80" s="11"/>
    </row>
    <row r="81" ht="14.25" customHeight="1">
      <c r="A81" s="11">
        <v>36.0</v>
      </c>
      <c r="B81" s="11">
        <v>4.7</v>
      </c>
      <c r="C81" s="11"/>
      <c r="D81" s="11"/>
      <c r="E81" s="11"/>
      <c r="F81" s="11"/>
      <c r="G81" s="11"/>
      <c r="H81" s="11"/>
      <c r="I81" s="11"/>
      <c r="J81" s="11"/>
    </row>
    <row r="82" ht="14.25" customHeight="1">
      <c r="A82" s="11">
        <v>35.0</v>
      </c>
      <c r="B82" s="11">
        <v>4.7</v>
      </c>
      <c r="C82" s="11"/>
      <c r="D82" s="11"/>
      <c r="E82" s="11"/>
      <c r="F82" s="11"/>
      <c r="G82" s="11"/>
      <c r="H82" s="11"/>
      <c r="I82" s="11"/>
      <c r="J82" s="11"/>
    </row>
    <row r="83" ht="14.25" customHeight="1">
      <c r="A83" s="11">
        <v>34.0</v>
      </c>
      <c r="B83" s="11">
        <v>4.7</v>
      </c>
      <c r="C83" s="11"/>
      <c r="D83" s="11"/>
      <c r="E83" s="11"/>
      <c r="F83" s="11"/>
      <c r="G83" s="11"/>
      <c r="H83" s="11"/>
      <c r="I83" s="11"/>
      <c r="J83" s="11"/>
    </row>
    <row r="84" ht="14.25" customHeight="1">
      <c r="A84" s="11">
        <v>33.0</v>
      </c>
      <c r="B84" s="11">
        <v>4.7</v>
      </c>
      <c r="C84" s="11"/>
      <c r="D84" s="11"/>
      <c r="E84" s="11"/>
      <c r="F84" s="11"/>
      <c r="G84" s="11"/>
      <c r="H84" s="11"/>
      <c r="I84" s="11"/>
      <c r="J84" s="11"/>
    </row>
    <row r="85" ht="14.25" customHeight="1">
      <c r="A85" s="11">
        <v>32.0</v>
      </c>
      <c r="B85" s="11">
        <v>4.7</v>
      </c>
      <c r="C85" s="11"/>
      <c r="D85" s="11"/>
      <c r="E85" s="11"/>
      <c r="F85" s="11"/>
      <c r="G85" s="11"/>
      <c r="H85" s="11"/>
      <c r="I85" s="11"/>
      <c r="J85" s="11"/>
    </row>
    <row r="86" ht="14.25" customHeight="1">
      <c r="A86" s="11">
        <v>31.0</v>
      </c>
      <c r="B86" s="11">
        <v>4.7</v>
      </c>
      <c r="C86" s="11"/>
      <c r="D86" s="11"/>
      <c r="E86" s="11"/>
      <c r="F86" s="11"/>
      <c r="G86" s="11"/>
      <c r="H86" s="11"/>
      <c r="I86" s="11"/>
      <c r="J86" s="11"/>
    </row>
    <row r="87" ht="14.25" customHeight="1">
      <c r="A87" s="11">
        <v>30.0</v>
      </c>
      <c r="B87" s="11">
        <v>4.7</v>
      </c>
      <c r="C87" s="11"/>
      <c r="D87" s="11"/>
      <c r="E87" s="11"/>
      <c r="F87" s="11"/>
      <c r="G87" s="11"/>
      <c r="H87" s="11"/>
      <c r="I87" s="11"/>
      <c r="J87" s="11"/>
    </row>
    <row r="88" ht="14.25" customHeight="1">
      <c r="A88" s="11">
        <v>29.0</v>
      </c>
      <c r="B88" s="11">
        <v>4.7</v>
      </c>
      <c r="C88" s="11"/>
      <c r="D88" s="11"/>
      <c r="E88" s="11"/>
      <c r="F88" s="11"/>
      <c r="G88" s="11"/>
      <c r="H88" s="11"/>
      <c r="I88" s="11"/>
      <c r="J88" s="11"/>
    </row>
    <row r="89" ht="14.25" customHeight="1">
      <c r="A89" s="11">
        <v>28.0</v>
      </c>
      <c r="B89" s="11">
        <v>4.7</v>
      </c>
      <c r="C89" s="11"/>
      <c r="D89" s="11"/>
      <c r="E89" s="11"/>
      <c r="F89" s="11"/>
      <c r="G89" s="11"/>
      <c r="H89" s="11"/>
      <c r="I89" s="11"/>
      <c r="J89" s="11"/>
    </row>
    <row r="90" ht="14.25" customHeight="1">
      <c r="A90" s="11">
        <v>27.0</v>
      </c>
      <c r="B90" s="11">
        <v>4.7</v>
      </c>
      <c r="C90" s="11"/>
      <c r="D90" s="11"/>
      <c r="E90" s="11"/>
      <c r="F90" s="11"/>
      <c r="G90" s="11"/>
      <c r="H90" s="11"/>
      <c r="I90" s="11"/>
      <c r="J90" s="11"/>
    </row>
    <row r="91" ht="14.25" customHeight="1">
      <c r="A91" s="11">
        <v>26.0</v>
      </c>
      <c r="B91" s="11">
        <v>4.7</v>
      </c>
      <c r="C91" s="11"/>
      <c r="D91" s="11"/>
      <c r="E91" s="11"/>
      <c r="F91" s="11"/>
      <c r="G91" s="11"/>
      <c r="H91" s="11"/>
      <c r="I91" s="11"/>
      <c r="J91" s="11"/>
    </row>
    <row r="92" ht="14.25" customHeight="1">
      <c r="A92" s="11">
        <v>25.0</v>
      </c>
      <c r="B92" s="11">
        <v>4.7</v>
      </c>
      <c r="C92" s="11"/>
      <c r="D92" s="11"/>
      <c r="E92" s="11"/>
      <c r="F92" s="11"/>
      <c r="G92" s="11"/>
      <c r="H92" s="11"/>
      <c r="I92" s="11"/>
      <c r="J92" s="11"/>
    </row>
    <row r="93" ht="14.25" customHeight="1">
      <c r="A93" s="11">
        <v>24.0</v>
      </c>
      <c r="B93" s="11">
        <v>4.7</v>
      </c>
      <c r="C93" s="11"/>
      <c r="D93" s="11"/>
      <c r="E93" s="11"/>
      <c r="F93" s="11"/>
      <c r="G93" s="11"/>
      <c r="H93" s="11"/>
      <c r="I93" s="11"/>
      <c r="J93" s="11"/>
    </row>
    <row r="94" ht="14.25" customHeight="1">
      <c r="A94" s="11">
        <v>23.0</v>
      </c>
      <c r="B94" s="11">
        <v>4.7</v>
      </c>
      <c r="C94" s="11"/>
      <c r="D94" s="11"/>
      <c r="E94" s="11"/>
      <c r="F94" s="11"/>
      <c r="G94" s="11"/>
      <c r="H94" s="11"/>
      <c r="I94" s="11"/>
      <c r="J94" s="11"/>
    </row>
    <row r="95" ht="14.25" customHeight="1">
      <c r="A95" s="11">
        <v>22.0</v>
      </c>
      <c r="B95" s="11">
        <v>4.7</v>
      </c>
      <c r="C95" s="11"/>
      <c r="D95" s="11"/>
      <c r="E95" s="11"/>
      <c r="F95" s="11"/>
      <c r="G95" s="11"/>
      <c r="H95" s="11"/>
      <c r="I95" s="11"/>
      <c r="J95" s="11"/>
    </row>
    <row r="96" ht="14.25" customHeight="1">
      <c r="A96" s="11">
        <v>21.0</v>
      </c>
      <c r="B96" s="11">
        <v>4.7</v>
      </c>
      <c r="C96" s="11"/>
      <c r="D96" s="11"/>
      <c r="E96" s="11"/>
      <c r="F96" s="11"/>
      <c r="G96" s="11"/>
      <c r="H96" s="11"/>
      <c r="I96" s="11"/>
      <c r="J96" s="11"/>
    </row>
    <row r="97" ht="14.25" customHeight="1">
      <c r="A97" s="11">
        <v>20.0</v>
      </c>
      <c r="B97" s="11">
        <v>4.7</v>
      </c>
      <c r="C97" s="11"/>
      <c r="D97" s="11"/>
      <c r="E97" s="11"/>
      <c r="F97" s="11"/>
      <c r="G97" s="11"/>
      <c r="H97" s="11"/>
      <c r="I97" s="11"/>
      <c r="J97" s="11"/>
    </row>
    <row r="98" ht="14.25" customHeight="1">
      <c r="A98" s="11">
        <v>19.0</v>
      </c>
      <c r="B98" s="11">
        <v>4.7</v>
      </c>
      <c r="C98" s="11"/>
      <c r="D98" s="11"/>
      <c r="E98" s="11"/>
      <c r="F98" s="11"/>
      <c r="G98" s="11"/>
      <c r="H98" s="11"/>
      <c r="I98" s="11"/>
      <c r="J98" s="11"/>
    </row>
    <row r="99" ht="14.25" customHeight="1">
      <c r="A99" s="11">
        <v>18.0</v>
      </c>
      <c r="B99" s="11">
        <v>4.7</v>
      </c>
      <c r="C99" s="11"/>
      <c r="D99" s="11"/>
      <c r="E99" s="11"/>
      <c r="F99" s="11"/>
      <c r="G99" s="11"/>
      <c r="H99" s="11"/>
      <c r="I99" s="11"/>
      <c r="J99" s="11"/>
    </row>
    <row r="100" ht="14.25" customHeight="1">
      <c r="A100" s="11">
        <v>17.0</v>
      </c>
      <c r="B100" s="11">
        <v>4.7</v>
      </c>
      <c r="C100" s="11"/>
      <c r="D100" s="11"/>
      <c r="E100" s="11"/>
      <c r="F100" s="11"/>
      <c r="G100" s="11"/>
      <c r="H100" s="11"/>
      <c r="I100" s="11"/>
      <c r="J100" s="11"/>
    </row>
    <row r="101" ht="14.25" customHeight="1">
      <c r="A101" s="11">
        <v>16.0</v>
      </c>
      <c r="B101" s="11">
        <v>4.7</v>
      </c>
      <c r="C101" s="11"/>
      <c r="D101" s="11"/>
      <c r="E101" s="11"/>
      <c r="F101" s="11"/>
      <c r="G101" s="11"/>
      <c r="H101" s="11"/>
      <c r="I101" s="11"/>
      <c r="J101" s="11"/>
    </row>
    <row r="102" ht="14.25" customHeight="1">
      <c r="A102" s="11">
        <v>15.0</v>
      </c>
      <c r="B102" s="11">
        <v>4.7</v>
      </c>
      <c r="C102" s="11"/>
      <c r="D102" s="11"/>
      <c r="E102" s="11"/>
      <c r="F102" s="11"/>
      <c r="G102" s="11"/>
      <c r="H102" s="11"/>
      <c r="I102" s="11"/>
      <c r="J102" s="11"/>
    </row>
    <row r="103" ht="14.25" customHeight="1">
      <c r="A103" s="11">
        <v>14.0</v>
      </c>
      <c r="B103" s="11">
        <v>5.0</v>
      </c>
      <c r="C103" s="11"/>
      <c r="D103" s="11"/>
      <c r="E103" s="11"/>
      <c r="F103" s="11"/>
      <c r="G103" s="11"/>
      <c r="H103" s="11"/>
      <c r="I103" s="11"/>
      <c r="J103" s="11"/>
    </row>
    <row r="104" ht="14.25" customHeight="1">
      <c r="A104" s="11">
        <v>13.0</v>
      </c>
      <c r="B104" s="11">
        <v>5.0</v>
      </c>
      <c r="C104" s="11"/>
      <c r="D104" s="11"/>
      <c r="E104" s="11"/>
      <c r="F104" s="11"/>
      <c r="G104" s="11"/>
      <c r="H104" s="11"/>
      <c r="I104" s="11"/>
      <c r="J104" s="11"/>
    </row>
    <row r="105" ht="14.25" customHeight="1">
      <c r="A105" s="11">
        <v>12.0</v>
      </c>
      <c r="B105" s="11">
        <v>5.0</v>
      </c>
      <c r="C105" s="11"/>
      <c r="D105" s="11"/>
      <c r="E105" s="11"/>
      <c r="F105" s="11"/>
      <c r="G105" s="11"/>
      <c r="H105" s="11"/>
      <c r="I105" s="11"/>
      <c r="J105" s="11"/>
    </row>
    <row r="106" ht="14.25" customHeight="1">
      <c r="A106" s="11">
        <v>11.0</v>
      </c>
      <c r="B106" s="11">
        <v>5.0</v>
      </c>
      <c r="C106" s="11"/>
      <c r="D106" s="11"/>
      <c r="E106" s="11"/>
      <c r="F106" s="11"/>
      <c r="G106" s="11"/>
      <c r="H106" s="11"/>
      <c r="I106" s="11"/>
      <c r="J106" s="11"/>
    </row>
    <row r="107" ht="14.25" customHeight="1">
      <c r="A107" s="11">
        <v>10.0</v>
      </c>
      <c r="B107" s="11">
        <v>5.0</v>
      </c>
      <c r="C107" s="11"/>
      <c r="D107" s="11"/>
      <c r="E107" s="11"/>
      <c r="F107" s="11"/>
      <c r="G107" s="11"/>
      <c r="H107" s="11"/>
      <c r="I107" s="11"/>
      <c r="J107" s="11"/>
    </row>
    <row r="108" ht="14.25" customHeight="1">
      <c r="A108" s="11">
        <v>9.0</v>
      </c>
      <c r="B108" s="11">
        <v>5.0</v>
      </c>
      <c r="C108" s="11"/>
      <c r="D108" s="11"/>
      <c r="E108" s="11"/>
      <c r="F108" s="11"/>
      <c r="G108" s="11"/>
      <c r="H108" s="11"/>
      <c r="I108" s="11"/>
      <c r="J108" s="11"/>
    </row>
    <row r="109" ht="14.25" customHeight="1">
      <c r="A109" s="11">
        <v>8.0</v>
      </c>
      <c r="B109" s="11">
        <v>5.0</v>
      </c>
      <c r="C109" s="11"/>
      <c r="D109" s="11"/>
      <c r="E109" s="11"/>
      <c r="F109" s="11"/>
      <c r="G109" s="11"/>
      <c r="H109" s="11"/>
      <c r="I109" s="11"/>
      <c r="J109" s="11"/>
    </row>
    <row r="110" ht="14.25" customHeight="1">
      <c r="A110" s="11">
        <v>7.0</v>
      </c>
      <c r="B110" s="11">
        <v>5.0</v>
      </c>
      <c r="C110" s="11"/>
      <c r="D110" s="11"/>
      <c r="E110" s="11"/>
      <c r="F110" s="11"/>
      <c r="G110" s="11"/>
      <c r="H110" s="11"/>
      <c r="I110" s="11"/>
      <c r="J110" s="11"/>
    </row>
    <row r="111" ht="14.25" customHeight="1">
      <c r="A111" s="11">
        <v>6.0</v>
      </c>
      <c r="B111" s="11">
        <v>5.0</v>
      </c>
      <c r="C111" s="11"/>
      <c r="D111" s="11"/>
      <c r="E111" s="11"/>
      <c r="F111" s="11"/>
      <c r="G111" s="11"/>
      <c r="H111" s="11"/>
      <c r="I111" s="11"/>
      <c r="J111" s="11"/>
    </row>
    <row r="112" ht="14.25" customHeight="1">
      <c r="A112" s="11">
        <v>5.0</v>
      </c>
      <c r="B112" s="11">
        <v>5.0</v>
      </c>
      <c r="C112" s="11"/>
      <c r="D112" s="11"/>
      <c r="E112" s="11"/>
      <c r="F112" s="11"/>
      <c r="G112" s="11"/>
      <c r="H112" s="11"/>
      <c r="I112" s="11"/>
      <c r="J112" s="11"/>
    </row>
    <row r="113" ht="14.25" customHeight="1">
      <c r="A113" s="11">
        <v>4.0</v>
      </c>
      <c r="B113" s="11">
        <v>5.0</v>
      </c>
      <c r="C113" s="11"/>
      <c r="D113" s="11"/>
      <c r="E113" s="11"/>
      <c r="F113" s="11"/>
      <c r="G113" s="11"/>
      <c r="H113" s="11"/>
      <c r="I113" s="11"/>
      <c r="J113" s="11"/>
    </row>
    <row r="114" ht="14.25" customHeight="1">
      <c r="A114" s="11">
        <v>3.0</v>
      </c>
      <c r="B114" s="11">
        <v>5.0</v>
      </c>
      <c r="C114" s="11"/>
      <c r="D114" s="11"/>
      <c r="E114" s="11"/>
      <c r="F114" s="11"/>
      <c r="G114" s="11"/>
      <c r="H114" s="11"/>
      <c r="I114" s="11"/>
      <c r="J114" s="11"/>
    </row>
    <row r="115" ht="14.25" customHeight="1">
      <c r="A115" s="11">
        <v>2.0</v>
      </c>
      <c r="B115" s="11">
        <v>5.0</v>
      </c>
      <c r="C115" s="11"/>
      <c r="D115" s="11"/>
      <c r="E115" s="11"/>
      <c r="F115" s="11"/>
      <c r="G115" s="11"/>
      <c r="H115" s="11"/>
      <c r="I115" s="11"/>
      <c r="J115" s="11"/>
    </row>
    <row r="116" ht="14.25" customHeight="1">
      <c r="A116" s="11">
        <v>1.0</v>
      </c>
      <c r="B116" s="11">
        <v>5.0</v>
      </c>
      <c r="C116" s="11"/>
      <c r="D116" s="11"/>
      <c r="E116" s="11"/>
      <c r="F116" s="11"/>
      <c r="G116" s="11"/>
      <c r="H116" s="11"/>
      <c r="I116" s="11"/>
      <c r="J116" s="11"/>
    </row>
    <row r="117" ht="14.25" customHeight="1">
      <c r="A117" s="11">
        <v>0.0</v>
      </c>
      <c r="B117" s="11">
        <v>5.0</v>
      </c>
      <c r="C117" s="11"/>
      <c r="D117" s="11"/>
      <c r="E117" s="11"/>
      <c r="F117" s="11"/>
      <c r="G117" s="11"/>
      <c r="H117" s="11"/>
      <c r="I117" s="11"/>
      <c r="J117" s="11"/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7" right="0.7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2015-06-11T08:40:26Z</dcterms:created>
  <dc:creator>jordine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